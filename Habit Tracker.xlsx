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2001_{0FB98C9D-016B-4EFD-A7C4-3F21605A1AB6}" xr6:coauthVersionLast="47" xr6:coauthVersionMax="47" xr10:uidLastSave="{00000000-0000-0000-0000-000000000000}"/>
  <bookViews>
    <workbookView xWindow="0" yWindow="360" windowWidth="19420" windowHeight="10300" xr2:uid="{969A4458-69CB-411C-B98F-10C634F97EB5}"/>
  </bookViews>
  <sheets>
    <sheet name="September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19" i="2" l="1"/>
  <c r="AK19" i="2" s="1"/>
  <c r="AJ18" i="2"/>
  <c r="AJ17" i="2"/>
  <c r="AK18" i="2" s="1"/>
  <c r="AJ16" i="2"/>
  <c r="AK16" i="2" s="1"/>
  <c r="AJ15" i="2"/>
  <c r="AK15" i="2" s="1"/>
  <c r="AJ14" i="2"/>
  <c r="AK14" i="2" s="1"/>
  <c r="AJ13" i="2"/>
  <c r="AK13" i="2" s="1"/>
  <c r="AJ12" i="2"/>
  <c r="AK12" i="2" s="1"/>
  <c r="AJ11" i="2"/>
  <c r="AK11" i="2" s="1"/>
  <c r="AJ10" i="2"/>
  <c r="AK10" i="2" s="1"/>
  <c r="B6" i="2"/>
  <c r="AJ10" i="1"/>
  <c r="AJ18" i="1"/>
  <c r="AK17" i="1"/>
  <c r="AJ17" i="1"/>
  <c r="AK18" i="1" s="1"/>
  <c r="AK11" i="1"/>
  <c r="AK12" i="1"/>
  <c r="AK13" i="1"/>
  <c r="AK14" i="1"/>
  <c r="AK15" i="1"/>
  <c r="AK16" i="1"/>
  <c r="AK19" i="1"/>
  <c r="AJ11" i="1"/>
  <c r="AJ12" i="1"/>
  <c r="AJ13" i="1"/>
  <c r="AJ14" i="1"/>
  <c r="AJ15" i="1"/>
  <c r="AJ16" i="1"/>
  <c r="AJ19" i="1"/>
  <c r="B6" i="1"/>
  <c r="M6" i="2" l="1"/>
  <c r="AL10" i="2"/>
  <c r="AK17" i="2"/>
  <c r="G6" i="2" s="1"/>
  <c r="AK10" i="1"/>
  <c r="AL10" i="1" s="1"/>
  <c r="G6" i="1"/>
  <c r="M6" i="1"/>
</calcChain>
</file>

<file path=xl/sharedStrings.xml><?xml version="1.0" encoding="utf-8"?>
<sst xmlns="http://schemas.openxmlformats.org/spreadsheetml/2006/main" count="68" uniqueCount="34">
  <si>
    <t xml:space="preserve"> </t>
  </si>
  <si>
    <t>HABIT TRACKER</t>
  </si>
  <si>
    <t>Daily Discipline and Consistency Tracker</t>
  </si>
  <si>
    <t>MONTH: OCTOBER 2026</t>
  </si>
  <si>
    <t>ACTIVE HABITS</t>
  </si>
  <si>
    <t>OVERALL COMPLETION</t>
  </si>
  <si>
    <t>TOTAL CHECK-INS</t>
  </si>
  <si>
    <t>TARGET GOAL</t>
  </si>
  <si>
    <t>HABIT NAME</t>
  </si>
  <si>
    <t>GOAL</t>
  </si>
  <si>
    <t>TOTAL</t>
  </si>
  <si>
    <t>RATE</t>
  </si>
  <si>
    <t>STATUS</t>
  </si>
  <si>
    <t>DAYS OF THE MONTH</t>
  </si>
  <si>
    <t>PRAYER AND WORD</t>
  </si>
  <si>
    <t>30 MINS</t>
  </si>
  <si>
    <t>EXERCISE</t>
  </si>
  <si>
    <t>20 MINS</t>
  </si>
  <si>
    <t>HYGIENE</t>
  </si>
  <si>
    <t>CLEAN, CLEAR, ARRANGE, BATH</t>
  </si>
  <si>
    <t>ACADEMIC DEEP STUDY</t>
  </si>
  <si>
    <t>4 HOURS SPLIT BLOCK</t>
  </si>
  <si>
    <t>DATA ANALYSIS</t>
  </si>
  <si>
    <t>1 HOUR</t>
  </si>
  <si>
    <t>BOOK READING</t>
  </si>
  <si>
    <t>10 PAGES</t>
  </si>
  <si>
    <t>DAILY EVENING RESET + TO-DO LIST</t>
  </si>
  <si>
    <t>POST ON TWITTER DAILY</t>
  </si>
  <si>
    <t>LOG YOUR FINANCIAL EXPENSES DAILY</t>
  </si>
  <si>
    <t xml:space="preserve">5 MINS </t>
  </si>
  <si>
    <t>10 MINUTES</t>
  </si>
  <si>
    <t>1x/Week</t>
  </si>
  <si>
    <t>POST ON LINKEDIN</t>
  </si>
  <si>
    <t>MONTH: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</si>
</sst>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8"/>
      <color rgb="FF0F172A"/>
      <name val="Segoe UI"/>
      <family val="2"/>
    </font>
    <font>
      <sz val="9"/>
      <color rgb="FF1E293B"/>
      <name val="Segoe UI"/>
      <family val="2"/>
    </font>
    <font>
      <sz val="9"/>
      <color theme="0"/>
      <name val="Segoe UI"/>
      <family val="2"/>
    </font>
    <font>
      <b/>
      <sz val="8"/>
      <color rgb="FF64748B"/>
      <name val="Segoe UI"/>
      <family val="2"/>
    </font>
    <font>
      <b/>
      <sz val="16"/>
      <color rgb="FF0F172A"/>
      <name val="Segoe UI"/>
      <family val="2"/>
    </font>
    <font>
      <b/>
      <sz val="9"/>
      <color rgb="FF64748B"/>
      <name val="Segoe UI"/>
      <family val="2"/>
    </font>
    <font>
      <b/>
      <sz val="16"/>
      <color rgb="FF0D9488"/>
      <name val="Segoe UI"/>
      <family val="2"/>
    </font>
    <font>
      <b/>
      <sz val="16"/>
      <color rgb="FF475569"/>
      <name val="Segoe UI"/>
      <family val="2"/>
    </font>
    <font>
      <sz val="9"/>
      <color rgb="FF64748B"/>
      <name val="Segoe UI"/>
      <family val="2"/>
    </font>
    <font>
      <b/>
      <sz val="9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2" fillId="0" borderId="1" xfId="0" applyNumberFormat="1" applyFont="1" applyBorder="1"/>
    <xf numFmtId="9" fontId="2" fillId="0" borderId="0" xfId="0" applyNumberFormat="1" applyFont="1"/>
    <xf numFmtId="0" fontId="1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" fontId="6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10" fillId="0" borderId="0" xfId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F172A"/>
      <color rgb="FF1E293B"/>
      <color rgb="FF475569"/>
      <color rgb="FF64748B"/>
      <color rgb="FF0D9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1B6A-092F-4594-8111-069EEC441911}">
  <dimension ref="A1:AL22"/>
  <sheetViews>
    <sheetView tabSelected="1" zoomScale="89" zoomScaleNormal="70" workbookViewId="0">
      <pane xSplit="3" ySplit="7" topLeftCell="N8" activePane="bottomRight" state="frozen"/>
      <selection pane="topRight" activeCell="D1" sqref="D1"/>
      <selection pane="bottomLeft" activeCell="A8" sqref="A8"/>
      <selection pane="bottomRight" activeCell="AB13" sqref="AB13"/>
    </sheetView>
  </sheetViews>
  <sheetFormatPr defaultRowHeight="14" x14ac:dyDescent="0.4"/>
  <cols>
    <col min="1" max="1" width="7.453125" style="1" customWidth="1"/>
    <col min="2" max="2" width="10.36328125" style="1" customWidth="1"/>
    <col min="3" max="3" width="29.08984375" style="1" customWidth="1"/>
    <col min="4" max="4" width="24.36328125" style="1" bestFit="1" customWidth="1"/>
    <col min="5" max="35" width="4.26953125" style="1" customWidth="1"/>
    <col min="36" max="36" width="8.6328125" style="1" customWidth="1"/>
    <col min="37" max="37" width="9.6328125" style="1" customWidth="1"/>
    <col min="38" max="38" width="13.6328125" style="1" customWidth="1"/>
    <col min="39" max="16384" width="8.7265625" style="1"/>
  </cols>
  <sheetData>
    <row r="1" spans="1:38" x14ac:dyDescent="0.4">
      <c r="A1" s="1" t="s">
        <v>0</v>
      </c>
    </row>
    <row r="2" spans="1:38" ht="26" x14ac:dyDescent="0.65">
      <c r="B2" s="13" t="s">
        <v>1</v>
      </c>
      <c r="C2" s="13"/>
      <c r="AF2" s="14" t="s">
        <v>33</v>
      </c>
      <c r="AG2" s="15"/>
      <c r="AH2" s="15"/>
      <c r="AI2" s="15"/>
      <c r="AJ2" s="15"/>
      <c r="AK2" s="15"/>
      <c r="AL2" s="15"/>
    </row>
    <row r="3" spans="1:38" x14ac:dyDescent="0.4">
      <c r="B3" s="12" t="s">
        <v>2</v>
      </c>
      <c r="C3" s="12"/>
    </row>
    <row r="5" spans="1:38" x14ac:dyDescent="0.4">
      <c r="B5" s="16" t="s">
        <v>4</v>
      </c>
      <c r="C5" s="16"/>
      <c r="D5" s="16"/>
      <c r="E5" s="16"/>
      <c r="G5" s="16" t="s">
        <v>5</v>
      </c>
      <c r="H5" s="18"/>
      <c r="I5" s="18"/>
      <c r="J5" s="18"/>
      <c r="K5" s="18"/>
      <c r="M5" s="16" t="s">
        <v>6</v>
      </c>
      <c r="N5" s="20"/>
      <c r="O5" s="20"/>
      <c r="P5" s="20"/>
      <c r="Q5" s="20"/>
      <c r="S5" s="16" t="s">
        <v>7</v>
      </c>
      <c r="T5" s="16"/>
      <c r="U5" s="16"/>
      <c r="V5" s="16"/>
      <c r="W5" s="16"/>
    </row>
    <row r="6" spans="1:38" ht="25" x14ac:dyDescent="0.7">
      <c r="B6" s="17">
        <f>COUNTA(C10:C24)</f>
        <v>10</v>
      </c>
      <c r="C6" s="17"/>
      <c r="D6" s="17"/>
      <c r="E6" s="17"/>
      <c r="G6" s="19">
        <f>AVERAGE(AK10:AK24)</f>
        <v>4.7580645161290312E-2</v>
      </c>
      <c r="H6" s="19"/>
      <c r="I6" s="19"/>
      <c r="J6" s="19"/>
      <c r="K6" s="19"/>
      <c r="M6" s="17">
        <f>SUM(AJ10:AJ24)</f>
        <v>8</v>
      </c>
      <c r="N6" s="17"/>
      <c r="O6" s="17"/>
      <c r="P6" s="17"/>
      <c r="Q6" s="17"/>
      <c r="S6" s="10">
        <v>0.85</v>
      </c>
      <c r="T6" s="11"/>
      <c r="U6" s="11"/>
      <c r="V6" s="11"/>
      <c r="W6" s="11"/>
    </row>
    <row r="8" spans="1:38" x14ac:dyDescent="0.4">
      <c r="C8" s="7" t="s">
        <v>8</v>
      </c>
      <c r="D8" s="7" t="s">
        <v>9</v>
      </c>
      <c r="E8" s="7" t="s">
        <v>13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7" t="s">
        <v>10</v>
      </c>
      <c r="AK8" s="7" t="s">
        <v>11</v>
      </c>
      <c r="AL8" s="7" t="s">
        <v>12</v>
      </c>
    </row>
    <row r="9" spans="1:38" x14ac:dyDescent="0.4">
      <c r="C9" s="7"/>
      <c r="D9" s="7"/>
      <c r="E9" s="3">
        <v>1</v>
      </c>
      <c r="F9" s="3">
        <v>2</v>
      </c>
      <c r="G9" s="3">
        <v>3</v>
      </c>
      <c r="H9" s="3">
        <v>4</v>
      </c>
      <c r="I9" s="3">
        <v>5</v>
      </c>
      <c r="J9" s="3">
        <v>6</v>
      </c>
      <c r="K9" s="3">
        <v>7</v>
      </c>
      <c r="L9" s="3">
        <v>8</v>
      </c>
      <c r="M9" s="3">
        <v>9</v>
      </c>
      <c r="N9" s="3">
        <v>10</v>
      </c>
      <c r="O9" s="3">
        <v>11</v>
      </c>
      <c r="P9" s="3">
        <v>12</v>
      </c>
      <c r="Q9" s="3">
        <v>13</v>
      </c>
      <c r="R9" s="3">
        <v>14</v>
      </c>
      <c r="S9" s="3">
        <v>15</v>
      </c>
      <c r="T9" s="3">
        <v>16</v>
      </c>
      <c r="U9" s="3">
        <v>17</v>
      </c>
      <c r="V9" s="3">
        <v>18</v>
      </c>
      <c r="W9" s="3">
        <v>19</v>
      </c>
      <c r="X9" s="3">
        <v>20</v>
      </c>
      <c r="Y9" s="3">
        <v>21</v>
      </c>
      <c r="Z9" s="3">
        <v>22</v>
      </c>
      <c r="AA9" s="3">
        <v>23</v>
      </c>
      <c r="AB9" s="3">
        <v>24</v>
      </c>
      <c r="AC9" s="3">
        <v>25</v>
      </c>
      <c r="AD9" s="3">
        <v>26</v>
      </c>
      <c r="AE9" s="3">
        <v>27</v>
      </c>
      <c r="AF9" s="3">
        <v>28</v>
      </c>
      <c r="AG9" s="3">
        <v>29</v>
      </c>
      <c r="AH9" s="3">
        <v>30</v>
      </c>
      <c r="AI9" s="3">
        <v>31</v>
      </c>
      <c r="AJ9" s="8"/>
      <c r="AK9" s="7"/>
      <c r="AL9" s="7"/>
    </row>
    <row r="10" spans="1:38" x14ac:dyDescent="0.4">
      <c r="C10" s="2" t="s">
        <v>14</v>
      </c>
      <c r="D10" s="2" t="s">
        <v>15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1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2">
        <f>COUNTIF(E10:AI10,TRUE)</f>
        <v>1</v>
      </c>
      <c r="AK10" s="5">
        <f>AJ10/31</f>
        <v>3.2258064516129031E-2</v>
      </c>
      <c r="AL10" s="2" t="str">
        <f>IF(AK10&gt;=0.8,"On Fire",IF(AK10&gt;=0.5,"Good","Ramp Up"))</f>
        <v>Ramp Up</v>
      </c>
    </row>
    <row r="11" spans="1:38" x14ac:dyDescent="0.4">
      <c r="C11" s="2" t="s">
        <v>16</v>
      </c>
      <c r="D11" s="2" t="s">
        <v>17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1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2">
        <f t="shared" ref="AJ11:AJ19" si="0">COUNTIF(E11:AI11,TRUE)</f>
        <v>1</v>
      </c>
      <c r="AK11" s="5">
        <f t="shared" ref="AK11:AK19" si="1">AJ11/31</f>
        <v>3.2258064516129031E-2</v>
      </c>
      <c r="AL11" s="2"/>
    </row>
    <row r="12" spans="1:38" x14ac:dyDescent="0.4">
      <c r="C12" s="2" t="s">
        <v>18</v>
      </c>
      <c r="D12" s="2" t="s">
        <v>19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4" t="b">
        <v>0</v>
      </c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1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2">
        <f t="shared" si="0"/>
        <v>1</v>
      </c>
      <c r="AK12" s="5">
        <f t="shared" si="1"/>
        <v>3.2258064516129031E-2</v>
      </c>
      <c r="AL12" s="2"/>
    </row>
    <row r="13" spans="1:38" x14ac:dyDescent="0.4">
      <c r="C13" s="2" t="s">
        <v>20</v>
      </c>
      <c r="D13" s="2" t="s">
        <v>21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1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2">
        <f t="shared" si="0"/>
        <v>1</v>
      </c>
      <c r="AK13" s="5">
        <f t="shared" si="1"/>
        <v>3.2258064516129031E-2</v>
      </c>
      <c r="AL13" s="2"/>
    </row>
    <row r="14" spans="1:38" x14ac:dyDescent="0.4">
      <c r="C14" s="2" t="s">
        <v>22</v>
      </c>
      <c r="D14" s="2" t="s">
        <v>23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1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2">
        <f t="shared" si="0"/>
        <v>1</v>
      </c>
      <c r="AK14" s="5">
        <f t="shared" si="1"/>
        <v>3.2258064516129031E-2</v>
      </c>
      <c r="AL14" s="2"/>
    </row>
    <row r="15" spans="1:38" x14ac:dyDescent="0.4">
      <c r="C15" s="2" t="s">
        <v>24</v>
      </c>
      <c r="D15" s="2" t="s">
        <v>25</v>
      </c>
      <c r="E15" s="4" t="b">
        <v>0</v>
      </c>
      <c r="F15" s="4" t="b">
        <v>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2">
        <f t="shared" si="0"/>
        <v>0</v>
      </c>
      <c r="AK15" s="5">
        <f t="shared" si="1"/>
        <v>0</v>
      </c>
      <c r="AL15" s="2"/>
    </row>
    <row r="16" spans="1:38" x14ac:dyDescent="0.4">
      <c r="C16" s="2" t="s">
        <v>26</v>
      </c>
      <c r="D16" s="2" t="s">
        <v>30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2">
        <f t="shared" si="0"/>
        <v>0</v>
      </c>
      <c r="AK16" s="5">
        <f t="shared" si="1"/>
        <v>0</v>
      </c>
      <c r="AL16" s="2"/>
    </row>
    <row r="17" spans="3:38" x14ac:dyDescent="0.4">
      <c r="C17" s="2" t="s">
        <v>32</v>
      </c>
      <c r="D17" s="2" t="s">
        <v>31</v>
      </c>
      <c r="E17" s="4" t="b">
        <v>0</v>
      </c>
      <c r="F17" s="4" t="b">
        <v>0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M17" s="4" t="b">
        <v>0</v>
      </c>
      <c r="N17" s="4" t="b">
        <v>0</v>
      </c>
      <c r="O17" s="4" t="b">
        <v>0</v>
      </c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1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2">
        <f>COUNTIF(E18:AI18,TRUE)</f>
        <v>1</v>
      </c>
      <c r="AK17" s="5">
        <f>MIN(1, AJ17/4)</f>
        <v>0.25</v>
      </c>
      <c r="AL17" s="2"/>
    </row>
    <row r="18" spans="3:38" x14ac:dyDescent="0.4">
      <c r="C18" s="2" t="s">
        <v>27</v>
      </c>
      <c r="D18" s="2" t="s">
        <v>29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1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1">
        <f>COUNTIF(E18:AI18, TRUE)</f>
        <v>1</v>
      </c>
      <c r="AK18" s="5">
        <f>AJ17/31</f>
        <v>3.2258064516129031E-2</v>
      </c>
      <c r="AL18" s="2"/>
    </row>
    <row r="19" spans="3:38" x14ac:dyDescent="0.4">
      <c r="C19" s="2" t="s">
        <v>28</v>
      </c>
      <c r="D19" s="2" t="s">
        <v>29</v>
      </c>
      <c r="E19" s="4" t="b">
        <v>0</v>
      </c>
      <c r="F19" s="4" t="b">
        <v>0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1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2">
        <f t="shared" si="0"/>
        <v>1</v>
      </c>
      <c r="AK19" s="5">
        <f t="shared" si="1"/>
        <v>3.2258064516129031E-2</v>
      </c>
      <c r="AL19" s="2"/>
    </row>
    <row r="20" spans="3:38" x14ac:dyDescent="0.4">
      <c r="AK20" s="6"/>
    </row>
    <row r="21" spans="3:38" x14ac:dyDescent="0.4">
      <c r="AK21" s="6"/>
    </row>
    <row r="22" spans="3:38" x14ac:dyDescent="0.4">
      <c r="AK22" s="6"/>
    </row>
  </sheetData>
  <mergeCells count="17">
    <mergeCell ref="AJ8:AJ9"/>
    <mergeCell ref="AK8:AK9"/>
    <mergeCell ref="AL8:AL9"/>
    <mergeCell ref="B6:E6"/>
    <mergeCell ref="G6:K6"/>
    <mergeCell ref="M6:Q6"/>
    <mergeCell ref="S6:W6"/>
    <mergeCell ref="C8:C9"/>
    <mergeCell ref="D8:D9"/>
    <mergeCell ref="E8:AI8"/>
    <mergeCell ref="B2:C2"/>
    <mergeCell ref="AF2:AL2"/>
    <mergeCell ref="B3:C3"/>
    <mergeCell ref="B5:E5"/>
    <mergeCell ref="G5:K5"/>
    <mergeCell ref="M5:Q5"/>
    <mergeCell ref="S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5628-15AA-43E6-B6C3-7D6E79AD220E}">
  <dimension ref="A1:AL22"/>
  <sheetViews>
    <sheetView topLeftCell="B1" zoomScale="82" zoomScaleNormal="100" workbookViewId="0">
      <selection activeCell="E10" sqref="E10"/>
    </sheetView>
  </sheetViews>
  <sheetFormatPr defaultRowHeight="14" x14ac:dyDescent="0.4"/>
  <cols>
    <col min="1" max="1" width="7.453125" style="1" customWidth="1"/>
    <col min="2" max="2" width="10.36328125" style="1" customWidth="1"/>
    <col min="3" max="3" width="29.08984375" style="1" customWidth="1"/>
    <col min="4" max="4" width="24.36328125" style="1" bestFit="1" customWidth="1"/>
    <col min="5" max="35" width="4.26953125" style="1" customWidth="1"/>
    <col min="36" max="36" width="8.6328125" style="1" customWidth="1"/>
    <col min="37" max="37" width="9.6328125" style="1" customWidth="1"/>
    <col min="38" max="38" width="13.6328125" style="1" customWidth="1"/>
    <col min="39" max="16384" width="8.7265625" style="1"/>
  </cols>
  <sheetData>
    <row r="1" spans="1:38" x14ac:dyDescent="0.4">
      <c r="A1" s="1" t="s">
        <v>0</v>
      </c>
    </row>
    <row r="2" spans="1:38" ht="26" x14ac:dyDescent="0.65">
      <c r="B2" s="13" t="s">
        <v>1</v>
      </c>
      <c r="C2" s="13"/>
      <c r="AF2" s="14" t="s">
        <v>3</v>
      </c>
      <c r="AG2" s="15"/>
      <c r="AH2" s="15"/>
      <c r="AI2" s="15"/>
      <c r="AJ2" s="15"/>
      <c r="AK2" s="15"/>
      <c r="AL2" s="15"/>
    </row>
    <row r="3" spans="1:38" x14ac:dyDescent="0.4">
      <c r="B3" s="12" t="s">
        <v>2</v>
      </c>
      <c r="C3" s="12"/>
    </row>
    <row r="5" spans="1:38" x14ac:dyDescent="0.4">
      <c r="B5" s="16" t="s">
        <v>4</v>
      </c>
      <c r="C5" s="16"/>
      <c r="D5" s="16"/>
      <c r="E5" s="16"/>
      <c r="G5" s="16" t="s">
        <v>5</v>
      </c>
      <c r="H5" s="18"/>
      <c r="I5" s="18"/>
      <c r="J5" s="18"/>
      <c r="K5" s="18"/>
      <c r="M5" s="16" t="s">
        <v>6</v>
      </c>
      <c r="N5" s="20"/>
      <c r="O5" s="20"/>
      <c r="P5" s="20"/>
      <c r="Q5" s="20"/>
      <c r="S5" s="16" t="s">
        <v>7</v>
      </c>
      <c r="T5" s="16"/>
      <c r="U5" s="16"/>
      <c r="V5" s="16"/>
      <c r="W5" s="16"/>
    </row>
    <row r="6" spans="1:38" ht="25" x14ac:dyDescent="0.7">
      <c r="B6" s="17">
        <f>COUNTA(C10:C24)</f>
        <v>10</v>
      </c>
      <c r="C6" s="17"/>
      <c r="D6" s="17"/>
      <c r="E6" s="17"/>
      <c r="G6" s="19">
        <f>AVERAGE(AK10:AK24)</f>
        <v>0</v>
      </c>
      <c r="H6" s="19"/>
      <c r="I6" s="19"/>
      <c r="J6" s="19"/>
      <c r="K6" s="19"/>
      <c r="M6" s="17">
        <f>SUM(AJ10:AJ24)</f>
        <v>0</v>
      </c>
      <c r="N6" s="17"/>
      <c r="O6" s="17"/>
      <c r="P6" s="17"/>
      <c r="Q6" s="17"/>
      <c r="S6" s="10">
        <v>0.85</v>
      </c>
      <c r="T6" s="11"/>
      <c r="U6" s="11"/>
      <c r="V6" s="11"/>
      <c r="W6" s="11"/>
    </row>
    <row r="8" spans="1:38" x14ac:dyDescent="0.4">
      <c r="C8" s="7" t="s">
        <v>8</v>
      </c>
      <c r="D8" s="7" t="s">
        <v>9</v>
      </c>
      <c r="E8" s="7" t="s">
        <v>13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7" t="s">
        <v>10</v>
      </c>
      <c r="AK8" s="7" t="s">
        <v>11</v>
      </c>
      <c r="AL8" s="7" t="s">
        <v>12</v>
      </c>
    </row>
    <row r="9" spans="1:38" x14ac:dyDescent="0.4">
      <c r="C9" s="7"/>
      <c r="D9" s="7"/>
      <c r="E9" s="3">
        <v>1</v>
      </c>
      <c r="F9" s="3">
        <v>2</v>
      </c>
      <c r="G9" s="3">
        <v>3</v>
      </c>
      <c r="H9" s="3">
        <v>4</v>
      </c>
      <c r="I9" s="3">
        <v>5</v>
      </c>
      <c r="J9" s="3">
        <v>6</v>
      </c>
      <c r="K9" s="3">
        <v>7</v>
      </c>
      <c r="L9" s="3">
        <v>8</v>
      </c>
      <c r="M9" s="3">
        <v>9</v>
      </c>
      <c r="N9" s="3">
        <v>10</v>
      </c>
      <c r="O9" s="3">
        <v>11</v>
      </c>
      <c r="P9" s="3">
        <v>12</v>
      </c>
      <c r="Q9" s="3">
        <v>13</v>
      </c>
      <c r="R9" s="3">
        <v>14</v>
      </c>
      <c r="S9" s="3">
        <v>15</v>
      </c>
      <c r="T9" s="3">
        <v>16</v>
      </c>
      <c r="U9" s="3">
        <v>17</v>
      </c>
      <c r="V9" s="3">
        <v>18</v>
      </c>
      <c r="W9" s="3">
        <v>19</v>
      </c>
      <c r="X9" s="3">
        <v>20</v>
      </c>
      <c r="Y9" s="3">
        <v>21</v>
      </c>
      <c r="Z9" s="3">
        <v>22</v>
      </c>
      <c r="AA9" s="3">
        <v>23</v>
      </c>
      <c r="AB9" s="3">
        <v>24</v>
      </c>
      <c r="AC9" s="3">
        <v>25</v>
      </c>
      <c r="AD9" s="3">
        <v>26</v>
      </c>
      <c r="AE9" s="3">
        <v>27</v>
      </c>
      <c r="AF9" s="3">
        <v>28</v>
      </c>
      <c r="AG9" s="3">
        <v>29</v>
      </c>
      <c r="AH9" s="3">
        <v>30</v>
      </c>
      <c r="AI9" s="3">
        <v>31</v>
      </c>
      <c r="AJ9" s="8"/>
      <c r="AK9" s="7"/>
      <c r="AL9" s="7"/>
    </row>
    <row r="10" spans="1:38" x14ac:dyDescent="0.4">
      <c r="C10" s="2" t="s">
        <v>14</v>
      </c>
      <c r="D10" s="2" t="s">
        <v>15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2">
        <f>COUNTIF(E10:AI10,TRUE)</f>
        <v>0</v>
      </c>
      <c r="AK10" s="5">
        <f>AJ10/31</f>
        <v>0</v>
      </c>
      <c r="AL10" s="2" t="str">
        <f>IF(AK10&gt;=0.8,"On Fire",IF(AK10&gt;=0.5,"Good","Ramp Up"))</f>
        <v>Ramp Up</v>
      </c>
    </row>
    <row r="11" spans="1:38" x14ac:dyDescent="0.4">
      <c r="C11" s="2" t="s">
        <v>16</v>
      </c>
      <c r="D11" s="2" t="s">
        <v>17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2">
        <f t="shared" ref="AJ11:AJ19" si="0">COUNTIF(E11:AI11,TRUE)</f>
        <v>0</v>
      </c>
      <c r="AK11" s="5">
        <f t="shared" ref="AK11:AK19" si="1">AJ11/31</f>
        <v>0</v>
      </c>
      <c r="AL11" s="2"/>
    </row>
    <row r="12" spans="1:38" x14ac:dyDescent="0.4">
      <c r="C12" s="2" t="s">
        <v>18</v>
      </c>
      <c r="D12" s="2" t="s">
        <v>19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4" t="b">
        <v>0</v>
      </c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2">
        <f t="shared" si="0"/>
        <v>0</v>
      </c>
      <c r="AK12" s="5">
        <f t="shared" si="1"/>
        <v>0</v>
      </c>
      <c r="AL12" s="2"/>
    </row>
    <row r="13" spans="1:38" x14ac:dyDescent="0.4">
      <c r="C13" s="2" t="s">
        <v>20</v>
      </c>
      <c r="D13" s="2" t="s">
        <v>21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2">
        <f t="shared" si="0"/>
        <v>0</v>
      </c>
      <c r="AK13" s="5">
        <f t="shared" si="1"/>
        <v>0</v>
      </c>
      <c r="AL13" s="2"/>
    </row>
    <row r="14" spans="1:38" x14ac:dyDescent="0.4">
      <c r="C14" s="2" t="s">
        <v>22</v>
      </c>
      <c r="D14" s="2" t="s">
        <v>23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2">
        <f t="shared" si="0"/>
        <v>0</v>
      </c>
      <c r="AK14" s="5">
        <f t="shared" si="1"/>
        <v>0</v>
      </c>
      <c r="AL14" s="2"/>
    </row>
    <row r="15" spans="1:38" x14ac:dyDescent="0.4">
      <c r="C15" s="2" t="s">
        <v>24</v>
      </c>
      <c r="D15" s="2" t="s">
        <v>25</v>
      </c>
      <c r="E15" s="4" t="b">
        <v>0</v>
      </c>
      <c r="F15" s="4" t="b">
        <v>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2">
        <f t="shared" si="0"/>
        <v>0</v>
      </c>
      <c r="AK15" s="5">
        <f t="shared" si="1"/>
        <v>0</v>
      </c>
      <c r="AL15" s="2"/>
    </row>
    <row r="16" spans="1:38" x14ac:dyDescent="0.4">
      <c r="C16" s="2" t="s">
        <v>26</v>
      </c>
      <c r="D16" s="2" t="s">
        <v>30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2">
        <f t="shared" si="0"/>
        <v>0</v>
      </c>
      <c r="AK16" s="5">
        <f t="shared" si="1"/>
        <v>0</v>
      </c>
      <c r="AL16" s="2"/>
    </row>
    <row r="17" spans="3:38" x14ac:dyDescent="0.4">
      <c r="C17" s="2" t="s">
        <v>32</v>
      </c>
      <c r="D17" s="2" t="s">
        <v>31</v>
      </c>
      <c r="E17" s="4" t="b">
        <v>0</v>
      </c>
      <c r="F17" s="4" t="b">
        <v>0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M17" s="4" t="b">
        <v>0</v>
      </c>
      <c r="N17" s="4" t="b">
        <v>0</v>
      </c>
      <c r="O17" s="4" t="b">
        <v>0</v>
      </c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2">
        <f>COUNTIF(E18:AI18,TRUE)</f>
        <v>0</v>
      </c>
      <c r="AK17" s="5">
        <f>MIN(1, AJ17/4)</f>
        <v>0</v>
      </c>
      <c r="AL17" s="2"/>
    </row>
    <row r="18" spans="3:38" x14ac:dyDescent="0.4">
      <c r="C18" s="2" t="s">
        <v>27</v>
      </c>
      <c r="D18" s="2" t="s">
        <v>29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1">
        <f>COUNTIF(E18:AI18, TRUE)</f>
        <v>0</v>
      </c>
      <c r="AK18" s="5">
        <f>AJ17/31</f>
        <v>0</v>
      </c>
      <c r="AL18" s="2"/>
    </row>
    <row r="19" spans="3:38" x14ac:dyDescent="0.4">
      <c r="C19" s="2" t="s">
        <v>28</v>
      </c>
      <c r="D19" s="2" t="s">
        <v>29</v>
      </c>
      <c r="E19" s="4" t="b">
        <v>0</v>
      </c>
      <c r="F19" s="4" t="b">
        <v>0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4" t="b">
        <v>0</v>
      </c>
      <c r="N19" s="4" t="b">
        <v>0</v>
      </c>
      <c r="O19" s="4" t="b">
        <v>0</v>
      </c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V19" s="4" t="b">
        <v>0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2">
        <f t="shared" si="0"/>
        <v>0</v>
      </c>
      <c r="AK19" s="5">
        <f t="shared" si="1"/>
        <v>0</v>
      </c>
      <c r="AL19" s="2"/>
    </row>
    <row r="20" spans="3:38" x14ac:dyDescent="0.4">
      <c r="AK20" s="6"/>
    </row>
    <row r="21" spans="3:38" x14ac:dyDescent="0.4">
      <c r="AK21" s="6"/>
    </row>
    <row r="22" spans="3:38" x14ac:dyDescent="0.4">
      <c r="AK22" s="6"/>
    </row>
  </sheetData>
  <mergeCells count="17">
    <mergeCell ref="C8:C9"/>
    <mergeCell ref="D8:D9"/>
    <mergeCell ref="B3:C3"/>
    <mergeCell ref="B2:C2"/>
    <mergeCell ref="AF2:AL2"/>
    <mergeCell ref="B5:E5"/>
    <mergeCell ref="B6:E6"/>
    <mergeCell ref="G5:K5"/>
    <mergeCell ref="G6:K6"/>
    <mergeCell ref="M5:Q5"/>
    <mergeCell ref="M6:Q6"/>
    <mergeCell ref="S5:W5"/>
    <mergeCell ref="AJ8:AJ9"/>
    <mergeCell ref="AK8:AK9"/>
    <mergeCell ref="AL8:AL9"/>
    <mergeCell ref="E8:AI8"/>
    <mergeCell ref="S6:W6"/>
  </mergeCells>
  <pageMargins left="0.7" right="0.7" top="0.75" bottom="0.75" header="0.3" footer="0.3"/>
  <ignoredErrors>
    <ignoredError sqref="G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September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2026-09-23T16:36:40Z</dcterms:created>
  <dcterms:modified xsi:type="dcterms:W3CDTF">2026-09-24T19:13:16Z</dcterms:modified>
</cp:coreProperties>
</file>