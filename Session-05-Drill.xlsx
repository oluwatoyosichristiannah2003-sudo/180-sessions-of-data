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13_ncr:1_{CBDB58BE-1D42-4896-9448-7F44793C773D}" xr6:coauthVersionLast="47" xr6:coauthVersionMax="47" xr10:uidLastSave="{00000000-0000-0000-0000-000000000000}"/>
  <bookViews>
    <workbookView xWindow="-110" yWindow="-110" windowWidth="19420" windowHeight="10300" xr2:uid="{3B8A3D4A-5368-41BF-8ACE-9EA76848E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1" l="1"/>
  <c r="F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<sst xmlns="http://schemas.openxmlformats.org/spreadsheetml/2006/main" count="67" uniqueCount="42">
  <si>
    <t>Patient_ID</t>
  </si>
  <si>
    <t>Patient_Name</t>
  </si>
  <si>
    <t>Gender</t>
  </si>
  <si>
    <t>Department</t>
  </si>
  <si>
    <t>Admission_Date</t>
  </si>
  <si>
    <t>Billing_Amount</t>
  </si>
  <si>
    <t>PT-101</t>
  </si>
  <si>
    <t>PT-102</t>
  </si>
  <si>
    <t>PT-103</t>
  </si>
  <si>
    <t>PT-104</t>
  </si>
  <si>
    <t>PT-105</t>
  </si>
  <si>
    <t>PT-106</t>
  </si>
  <si>
    <t>PT-107</t>
  </si>
  <si>
    <t>PT-108</t>
  </si>
  <si>
    <t>PT-109</t>
  </si>
  <si>
    <t>PT-110</t>
  </si>
  <si>
    <t>PT-111</t>
  </si>
  <si>
    <t>PT-112</t>
  </si>
  <si>
    <t>PT-113</t>
  </si>
  <si>
    <t>PT-114</t>
  </si>
  <si>
    <t>PT-115</t>
  </si>
  <si>
    <t>Sarah Jenkins</t>
  </si>
  <si>
    <t xml:space="preserve">Marcus Vance </t>
  </si>
  <si>
    <t>Elena Rostova</t>
  </si>
  <si>
    <t>David Kim</t>
  </si>
  <si>
    <t>Aisha Bello</t>
  </si>
  <si>
    <t>James Wilson</t>
  </si>
  <si>
    <t>Chloe Bennett</t>
  </si>
  <si>
    <t>Mateo Garcia</t>
  </si>
  <si>
    <t>Fatima Aliyu</t>
  </si>
  <si>
    <t>Liam O'Connor</t>
  </si>
  <si>
    <t>Zoe Adams</t>
  </si>
  <si>
    <t>Noah Campbell</t>
  </si>
  <si>
    <t>Amara Okafor</t>
  </si>
  <si>
    <t>Lucas Meyer</t>
  </si>
  <si>
    <t>Nia Patel</t>
  </si>
  <si>
    <t>Female</t>
  </si>
  <si>
    <t>Male</t>
  </si>
  <si>
    <t>Cardiology</t>
  </si>
  <si>
    <t>Emergency</t>
  </si>
  <si>
    <t>Pediatrics</t>
  </si>
  <si>
    <t>Tax_Due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</si>
</sst>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68" fontId="0" fillId="0" borderId="0" xfId="0" applyNumberFormat="1"/>
    <xf numFmtId="44" fontId="0" fillId="0" borderId="0" xfId="0" applyNumberFormat="1"/>
    <xf numFmtId="44" fontId="0" fillId="0" borderId="0" xfId="1" applyNumberFormat="1" applyFont="1"/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8" formatCode="yyyy\-mm\-dd;@"/>
    </dxf>
    <dxf>
      <numFmt numFmtId="168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F7FC4-C042-4178-A2CD-9E1DB2685A05}" name="Table2" displayName="Table2" ref="A1:G17" totalsRowCount="1">
  <autoFilter ref="A1:G16" xr:uid="{C22F7FC4-C042-4178-A2CD-9E1DB2685A05}"/>
  <tableColumns count="7">
    <tableColumn id="1" xr3:uid="{2CC3A7D6-9592-4AE3-83D0-A0FACB3E2D6D}" name="Patient_ID"/>
    <tableColumn id="2" xr3:uid="{BB441CE5-D0C4-4408-9030-6EFC69BF4EA3}" name="Patient_Name"/>
    <tableColumn id="3" xr3:uid="{2008A3A2-6788-46A4-A96F-ED6E72713987}" name="Gender"/>
    <tableColumn id="4" xr3:uid="{8353E547-8897-4C68-9BA8-F4ACF1BE733F}" name="Department"/>
    <tableColumn id="5" xr3:uid="{458BF7A5-0CFB-450C-902E-B9806751F08D}" name="Admission_Date" dataDxfId="3" totalsRowDxfId="2"/>
    <tableColumn id="6" xr3:uid="{1FA0CEEB-8F17-4B45-805D-75F0270B6E90}" name="Billing_Amount" totalsRowFunction="custom" dataCellStyle="Currency" totalsRowCellStyle="Currency">
      <totalsRowFormula>SUM(Table2[Billing_Amount])</totalsRowFormula>
    </tableColumn>
    <tableColumn id="7" xr3:uid="{FE871EA8-1E25-4884-9A24-50A918B41AED}" name="Tax_Due" totalsRowFunction="sum" dataDxfId="1" totalsRowDxfId="0" totalsRowCellStyle="Comma">
      <calculatedColumnFormula>F2*$H$1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2CC9-1945-4862-9526-932D65290CC6}">
  <dimension ref="A1:H17"/>
  <sheetViews>
    <sheetView tabSelected="1" workbookViewId="0">
      <selection activeCell="H13" sqref="H13"/>
    </sheetView>
  </sheetViews>
  <sheetFormatPr defaultRowHeight="14.5" x14ac:dyDescent="0.35"/>
  <cols>
    <col min="1" max="1" width="11.453125" customWidth="1"/>
    <col min="2" max="2" width="14.54296875" customWidth="1"/>
    <col min="3" max="3" width="8.90625" customWidth="1"/>
    <col min="4" max="4" width="12.81640625" customWidth="1"/>
    <col min="5" max="5" width="16.36328125" customWidth="1"/>
    <col min="6" max="6" width="15.453125" style="4" customWidth="1"/>
    <col min="7" max="7" width="11.36328125" bestFit="1" customWidth="1"/>
    <col min="9" max="9" width="10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4" t="s">
        <v>5</v>
      </c>
      <c r="G1" s="2" t="s">
        <v>41</v>
      </c>
      <c r="H1">
        <v>7.4999999999999997E-2</v>
      </c>
    </row>
    <row r="2" spans="1:8" x14ac:dyDescent="0.35">
      <c r="A2" t="s">
        <v>6</v>
      </c>
      <c r="B2" t="s">
        <v>21</v>
      </c>
      <c r="C2" t="s">
        <v>36</v>
      </c>
      <c r="D2" t="s">
        <v>38</v>
      </c>
      <c r="E2" s="1">
        <v>46286</v>
      </c>
      <c r="F2" s="4">
        <v>1450</v>
      </c>
      <c r="G2" s="2">
        <f>F2*$H$1</f>
        <v>108.75</v>
      </c>
    </row>
    <row r="3" spans="1:8" x14ac:dyDescent="0.35">
      <c r="A3" t="s">
        <v>7</v>
      </c>
      <c r="B3" t="s">
        <v>22</v>
      </c>
      <c r="C3" t="s">
        <v>37</v>
      </c>
      <c r="D3" t="s">
        <v>38</v>
      </c>
      <c r="E3" s="1">
        <v>46279</v>
      </c>
      <c r="F3" s="4">
        <v>850</v>
      </c>
      <c r="G3" s="2">
        <f t="shared" ref="G3:G16" si="0">F3*$H$1</f>
        <v>63.75</v>
      </c>
    </row>
    <row r="4" spans="1:8" x14ac:dyDescent="0.35">
      <c r="A4" t="s">
        <v>8</v>
      </c>
      <c r="B4" t="s">
        <v>23</v>
      </c>
      <c r="C4" t="s">
        <v>36</v>
      </c>
      <c r="D4" t="s">
        <v>38</v>
      </c>
      <c r="E4" s="1">
        <v>46266</v>
      </c>
      <c r="F4" s="4">
        <v>1200</v>
      </c>
      <c r="G4" s="2">
        <f t="shared" si="0"/>
        <v>90</v>
      </c>
    </row>
    <row r="5" spans="1:8" x14ac:dyDescent="0.35">
      <c r="A5" t="s">
        <v>9</v>
      </c>
      <c r="B5" t="s">
        <v>24</v>
      </c>
      <c r="C5" t="s">
        <v>37</v>
      </c>
      <c r="D5" t="s">
        <v>39</v>
      </c>
      <c r="E5" s="1">
        <v>46277</v>
      </c>
      <c r="F5" s="4">
        <v>3100</v>
      </c>
      <c r="G5" s="2">
        <f t="shared" si="0"/>
        <v>232.5</v>
      </c>
    </row>
    <row r="6" spans="1:8" x14ac:dyDescent="0.35">
      <c r="A6" t="s">
        <v>10</v>
      </c>
      <c r="B6" t="s">
        <v>25</v>
      </c>
      <c r="C6" t="s">
        <v>36</v>
      </c>
      <c r="D6" t="s">
        <v>39</v>
      </c>
      <c r="E6" s="1">
        <v>46292</v>
      </c>
      <c r="F6" s="4">
        <v>950</v>
      </c>
      <c r="G6" s="2">
        <f t="shared" si="0"/>
        <v>71.25</v>
      </c>
    </row>
    <row r="7" spans="1:8" x14ac:dyDescent="0.35">
      <c r="A7" t="s">
        <v>11</v>
      </c>
      <c r="B7" t="s">
        <v>26</v>
      </c>
      <c r="C7" t="s">
        <v>37</v>
      </c>
      <c r="D7" t="s">
        <v>39</v>
      </c>
      <c r="E7" s="1">
        <v>46281</v>
      </c>
      <c r="F7" s="4">
        <v>450</v>
      </c>
      <c r="G7" s="2">
        <f t="shared" si="0"/>
        <v>33.75</v>
      </c>
    </row>
    <row r="8" spans="1:8" x14ac:dyDescent="0.35">
      <c r="A8" t="s">
        <v>12</v>
      </c>
      <c r="B8" t="s">
        <v>27</v>
      </c>
      <c r="C8" t="s">
        <v>36</v>
      </c>
      <c r="D8" t="s">
        <v>38</v>
      </c>
      <c r="E8" s="1">
        <v>46283</v>
      </c>
      <c r="F8" s="4">
        <v>1800</v>
      </c>
      <c r="G8" s="2">
        <f t="shared" si="0"/>
        <v>135</v>
      </c>
    </row>
    <row r="9" spans="1:8" x14ac:dyDescent="0.35">
      <c r="A9" t="s">
        <v>13</v>
      </c>
      <c r="B9" t="s">
        <v>28</v>
      </c>
      <c r="C9" t="s">
        <v>37</v>
      </c>
      <c r="D9" t="s">
        <v>38</v>
      </c>
      <c r="E9" s="1">
        <v>46289</v>
      </c>
      <c r="F9" s="4">
        <v>2100</v>
      </c>
      <c r="G9" s="2">
        <f t="shared" si="0"/>
        <v>157.5</v>
      </c>
    </row>
    <row r="10" spans="1:8" x14ac:dyDescent="0.35">
      <c r="A10" t="s">
        <v>14</v>
      </c>
      <c r="B10" t="s">
        <v>29</v>
      </c>
      <c r="C10" t="s">
        <v>36</v>
      </c>
      <c r="D10" t="s">
        <v>38</v>
      </c>
      <c r="E10" s="1">
        <v>46273</v>
      </c>
      <c r="F10" s="4">
        <v>1650</v>
      </c>
      <c r="G10" s="2">
        <f t="shared" si="0"/>
        <v>123.75</v>
      </c>
    </row>
    <row r="11" spans="1:8" x14ac:dyDescent="0.35">
      <c r="A11" t="s">
        <v>15</v>
      </c>
      <c r="B11" t="s">
        <v>30</v>
      </c>
      <c r="C11" t="s">
        <v>37</v>
      </c>
      <c r="D11" t="s">
        <v>38</v>
      </c>
      <c r="E11" s="1">
        <v>46287</v>
      </c>
      <c r="F11" s="4">
        <v>4200</v>
      </c>
      <c r="G11" s="2">
        <f t="shared" si="0"/>
        <v>315</v>
      </c>
    </row>
    <row r="12" spans="1:8" x14ac:dyDescent="0.35">
      <c r="A12" t="s">
        <v>16</v>
      </c>
      <c r="B12" t="s">
        <v>31</v>
      </c>
      <c r="C12" t="s">
        <v>36</v>
      </c>
      <c r="D12" t="s">
        <v>38</v>
      </c>
      <c r="E12" s="1">
        <v>46280</v>
      </c>
      <c r="F12" s="4">
        <v>3800</v>
      </c>
      <c r="G12" s="2">
        <f t="shared" si="0"/>
        <v>285</v>
      </c>
    </row>
    <row r="13" spans="1:8" x14ac:dyDescent="0.35">
      <c r="A13" t="s">
        <v>17</v>
      </c>
      <c r="B13" t="s">
        <v>32</v>
      </c>
      <c r="C13" t="s">
        <v>37</v>
      </c>
      <c r="D13" t="s">
        <v>38</v>
      </c>
      <c r="E13" s="1">
        <v>46270</v>
      </c>
      <c r="F13" s="4">
        <v>2900</v>
      </c>
      <c r="G13" s="2">
        <f t="shared" si="0"/>
        <v>217.5</v>
      </c>
    </row>
    <row r="14" spans="1:8" x14ac:dyDescent="0.35">
      <c r="A14" t="s">
        <v>18</v>
      </c>
      <c r="B14" t="s">
        <v>33</v>
      </c>
      <c r="C14" t="s">
        <v>36</v>
      </c>
      <c r="D14" t="s">
        <v>40</v>
      </c>
      <c r="E14" s="1">
        <v>46268</v>
      </c>
      <c r="F14" s="4">
        <v>600</v>
      </c>
      <c r="G14" s="2">
        <f t="shared" si="0"/>
        <v>45</v>
      </c>
    </row>
    <row r="15" spans="1:8" x14ac:dyDescent="0.35">
      <c r="A15" t="s">
        <v>19</v>
      </c>
      <c r="B15" t="s">
        <v>34</v>
      </c>
      <c r="C15" t="s">
        <v>37</v>
      </c>
      <c r="D15" t="s">
        <v>40</v>
      </c>
      <c r="E15" s="1">
        <v>46284</v>
      </c>
      <c r="F15" s="4">
        <v>350</v>
      </c>
      <c r="G15" s="2">
        <f t="shared" si="0"/>
        <v>26.25</v>
      </c>
    </row>
    <row r="16" spans="1:8" x14ac:dyDescent="0.35">
      <c r="A16" t="s">
        <v>20</v>
      </c>
      <c r="B16" t="s">
        <v>35</v>
      </c>
      <c r="C16" t="s">
        <v>36</v>
      </c>
      <c r="D16" t="s">
        <v>40</v>
      </c>
      <c r="E16" s="1">
        <v>46290</v>
      </c>
      <c r="F16" s="4">
        <v>500</v>
      </c>
      <c r="G16" s="2">
        <f t="shared" si="0"/>
        <v>37.5</v>
      </c>
    </row>
    <row r="17" spans="5:7" x14ac:dyDescent="0.35">
      <c r="E17" s="1"/>
      <c r="F17" s="4">
        <f>SUM(Table2[Billing_Amount])</f>
        <v>25900</v>
      </c>
      <c r="G17" s="3">
        <f>SUBTOTAL(109,Table2[Tax_Due])</f>
        <v>1942.5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2026-09-21T20:41:03Z</dcterms:created>
  <dcterms:modified xsi:type="dcterms:W3CDTF">2026-09-22T06:43:54Z</dcterms:modified>
</cp:coreProperties>
</file>