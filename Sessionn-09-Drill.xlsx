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8_{E05A3C6E-9790-4FF6-B76E-A92BDE58CDD8}" xr6:coauthVersionLast="47" xr6:coauthVersionMax="47" xr10:uidLastSave="{00000000-0000-0000-0000-000000000000}"/>
  <bookViews>
    <workbookView xWindow="-110" yWindow="-110" windowWidth="19420" windowHeight="10300" xr2:uid="{27232B7F-D2F2-48CE-A313-AC2AA4494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F15" i="1" a="1"/>
  <c r="F15" i="1" s="1"/>
  <c r="F16" i="1" a="1"/>
  <c r="F16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2" i="1" a="1"/>
  <c r="F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<sst xmlns="http://schemas.openxmlformats.org/spreadsheetml/2006/main" count="36" uniqueCount="36">
  <si>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Patient_ID</t>
  </si>
  <si>
    <t>Patient_Name</t>
  </si>
  <si>
    <t>Age</t>
  </si>
  <si>
    <t>PT-101</t>
  </si>
  <si>
    <t>Sarah Jenkins</t>
  </si>
  <si>
    <t>PT-102</t>
  </si>
  <si>
    <t xml:space="preserve">Marcus Vance </t>
  </si>
  <si>
    <t>PT-103</t>
  </si>
  <si>
    <t>Elena Rostova</t>
  </si>
  <si>
    <t>PT-104</t>
  </si>
  <si>
    <t>David Kim</t>
  </si>
  <si>
    <t>PT-105</t>
  </si>
  <si>
    <t>Aisha Bello</t>
  </si>
  <si>
    <t>PT-106</t>
  </si>
  <si>
    <t>James Wilson</t>
  </si>
  <si>
    <t>PT-107</t>
  </si>
  <si>
    <t>Chloe Bennett</t>
  </si>
  <si>
    <t>PT-108</t>
  </si>
  <si>
    <t>Mateo Garcia</t>
  </si>
  <si>
    <t>PT-109</t>
  </si>
  <si>
    <t>Fatima Aliyu</t>
  </si>
  <si>
    <t>PT-110</t>
  </si>
  <si>
    <t>Liam O'Connor</t>
  </si>
  <si>
    <t>PT-111</t>
  </si>
  <si>
    <t>Zoe Adams</t>
  </si>
  <si>
    <t>PT-112</t>
  </si>
  <si>
    <t>Noah Campbell</t>
  </si>
  <si>
    <t>PT-113</t>
  </si>
  <si>
    <t>Amara Okafor</t>
  </si>
  <si>
    <t>PT-114</t>
  </si>
  <si>
    <t>Lucas Meyer</t>
  </si>
  <si>
    <t>PT-115</t>
  </si>
  <si>
    <t>Nia Patel</t>
  </si>
  <si>
    <t>Systolic_BP</t>
  </si>
  <si>
    <t>BP_Status</t>
  </si>
  <si>
    <t>BP_Status2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</si>
</sst>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CF3D2D-2A16-4FA0-97AA-62E1B0734DC0}" name="Table2" displayName="Table2" ref="A1:F16" totalsRowShown="0">
  <autoFilter ref="A1:F16" xr:uid="{E3CF3D2D-2A16-4FA0-97AA-62E1B0734DC0}"/>
  <tableColumns count="6">
    <tableColumn id="1" xr3:uid="{F58AFB15-F4B5-43A1-818D-B238598D557F}" name="Patient_ID"/>
    <tableColumn id="2" xr3:uid="{AC74BF68-E074-4A8A-BB8A-172BA5348D8D}" name="Patient_Name"/>
    <tableColumn id="3" xr3:uid="{E2E078B3-AC99-4066-9C04-D627366E88F4}" name="Age"/>
    <tableColumn id="4" xr3:uid="{0B150C61-EE9A-4685-8239-170B24B7D560}" name="Systolic_BP"/>
    <tableColumn id="5" xr3:uid="{9F10E77B-8160-46EC-9658-D0F4A81AFAEC}" name="BP_Status">
      <calculatedColumnFormula>IF(D2&lt;120,"Normal", IF(D2&lt;=129, "Elevated",IF(D2&gt;=130, "High")))</calculatedColumnFormula>
    </tableColumn>
    <tableColumn id="6" xr3:uid="{CAF8ABEE-943E-42B8-ACF9-5CDE65BE96DE}" name="BP_Status2">
      <calculatedColumnFormula array="1">_xlfn.IFS(D2&lt;120, "Normal", D2&lt;= 129, "Elevated",D2&gt;=130, "High")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77C8-71C4-4BAB-8DCD-C2EDCC54D2A2}">
  <dimension ref="A1:F16"/>
  <sheetViews>
    <sheetView tabSelected="1" zoomScale="84" workbookViewId="0">
      <selection activeCell="M8" sqref="M8"/>
    </sheetView>
  </sheetViews>
  <sheetFormatPr defaultRowHeight="14.5" x14ac:dyDescent="0.35"/>
  <cols>
    <col min="1" max="1" width="11.453125" customWidth="1"/>
    <col min="2" max="2" width="14.54296875" customWidth="1"/>
    <col min="3" max="3" width="5.81640625" customWidth="1"/>
    <col min="4" max="4" width="12.453125" customWidth="1"/>
    <col min="5" max="5" width="11.1796875" customWidth="1"/>
    <col min="6" max="6" width="12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33</v>
      </c>
      <c r="E1" t="s">
        <v>34</v>
      </c>
      <c r="F1" t="s">
        <v>35</v>
      </c>
    </row>
    <row r="2" spans="1:6" x14ac:dyDescent="0.35">
      <c r="A2" t="s">
        <v>3</v>
      </c>
      <c r="B2" t="s">
        <v>4</v>
      </c>
      <c r="C2">
        <v>72</v>
      </c>
      <c r="D2">
        <v>142</v>
      </c>
      <c r="E2" t="str">
        <f>IF(D2&lt;120,"Normal", IF(D2&lt;=129, "Elevated",IF(D2&gt;=130, "High")))</f>
        <v>High</v>
      </c>
      <c r="F2" t="str" cm="1">
        <f t="array" ref="F2">_xlfn.IFS(D2&lt;120, "Normal", D2&lt;= 129, "Elevated",D2&gt;=130, "High")</f>
        <v>High</v>
      </c>
    </row>
    <row r="3" spans="1:6" x14ac:dyDescent="0.35">
      <c r="A3" t="s">
        <v>5</v>
      </c>
      <c r="B3" t="s">
        <v>6</v>
      </c>
      <c r="C3">
        <v>45</v>
      </c>
      <c r="D3">
        <v>118</v>
      </c>
      <c r="E3" t="str">
        <f t="shared" ref="E3:E16" si="0">IF(D3&lt;120,"Normal", IF(D3&lt;=129, "Elevated",IF(D3&gt;=130, "High")))</f>
        <v>Normal</v>
      </c>
      <c r="F3" t="str" cm="1">
        <f t="array" ref="F3">_xlfn.IFS(D3&lt;120, "Normal", D3&lt;= 129, "Elevated",D3&gt;=130, "High")</f>
        <v>Normal</v>
      </c>
    </row>
    <row r="4" spans="1:6" x14ac:dyDescent="0.35">
      <c r="A4" t="s">
        <v>7</v>
      </c>
      <c r="B4" t="s">
        <v>8</v>
      </c>
      <c r="C4">
        <v>65</v>
      </c>
      <c r="D4">
        <v>125</v>
      </c>
      <c r="E4" t="str">
        <f t="shared" si="0"/>
        <v>Elevated</v>
      </c>
      <c r="F4" t="str" cm="1">
        <f t="array" ref="F4">_xlfn.IFS(D4&lt;120, "Normal", D4&lt;= 129, "Elevated",D4&gt;=130, "High")</f>
        <v>Elevated</v>
      </c>
    </row>
    <row r="5" spans="1:6" x14ac:dyDescent="0.35">
      <c r="A5" t="s">
        <v>9</v>
      </c>
      <c r="B5" t="s">
        <v>10</v>
      </c>
      <c r="C5">
        <v>29</v>
      </c>
      <c r="D5">
        <v>112</v>
      </c>
      <c r="E5" t="str">
        <f t="shared" si="0"/>
        <v>Normal</v>
      </c>
      <c r="F5" t="str" cm="1">
        <f t="array" ref="F5">_xlfn.IFS(D5&lt;120, "Normal", D5&lt;= 129, "Elevated",D5&gt;=130, "High")</f>
        <v>Normal</v>
      </c>
    </row>
    <row r="6" spans="1:6" x14ac:dyDescent="0.35">
      <c r="A6" t="s">
        <v>11</v>
      </c>
      <c r="B6" t="s">
        <v>12</v>
      </c>
      <c r="C6">
        <v>68</v>
      </c>
      <c r="D6">
        <v>135</v>
      </c>
      <c r="E6" t="str">
        <f t="shared" si="0"/>
        <v>High</v>
      </c>
      <c r="F6" t="str" cm="1">
        <f t="array" ref="F6">_xlfn.IFS(D6&lt;120, "Normal", D6&lt;= 129, "Elevated",D6&gt;=130, "High")</f>
        <v>High</v>
      </c>
    </row>
    <row r="7" spans="1:6" x14ac:dyDescent="0.35">
      <c r="A7" t="s">
        <v>13</v>
      </c>
      <c r="B7" t="s">
        <v>14</v>
      </c>
      <c r="C7">
        <v>54</v>
      </c>
      <c r="D7">
        <v>120</v>
      </c>
      <c r="E7" t="str">
        <f t="shared" si="0"/>
        <v>Elevated</v>
      </c>
      <c r="F7" t="str" cm="1">
        <f t="array" ref="F7">_xlfn.IFS(D7&lt;120, "Normal", D7&lt;= 129, "Elevated",D7&gt;=130, "High")</f>
        <v>Elevated</v>
      </c>
    </row>
    <row r="8" spans="1:6" x14ac:dyDescent="0.35">
      <c r="A8" t="s">
        <v>15</v>
      </c>
      <c r="B8" t="s">
        <v>16</v>
      </c>
      <c r="C8">
        <v>81</v>
      </c>
      <c r="D8">
        <v>155</v>
      </c>
      <c r="E8" t="str">
        <f t="shared" si="0"/>
        <v>High</v>
      </c>
      <c r="F8" t="str" cm="1">
        <f t="array" ref="F8">_xlfn.IFS(D8&lt;120, "Normal", D8&lt;= 129, "Elevated",D8&gt;=130, "High")</f>
        <v>High</v>
      </c>
    </row>
    <row r="9" spans="1:6" x14ac:dyDescent="0.35">
      <c r="A9" t="s">
        <v>17</v>
      </c>
      <c r="B9" t="s">
        <v>18</v>
      </c>
      <c r="C9">
        <v>37</v>
      </c>
      <c r="D9">
        <v>128</v>
      </c>
      <c r="E9" t="str">
        <f t="shared" si="0"/>
        <v>Elevated</v>
      </c>
      <c r="F9" t="str" cm="1">
        <f t="array" ref="F9">_xlfn.IFS(D9&lt;120, "Normal", D9&lt;= 129, "Elevated",D9&gt;=130, "High")</f>
        <v>Elevated</v>
      </c>
    </row>
    <row r="10" spans="1:6" x14ac:dyDescent="0.35">
      <c r="A10" t="s">
        <v>19</v>
      </c>
      <c r="B10" t="s">
        <v>20</v>
      </c>
      <c r="C10">
        <v>64</v>
      </c>
      <c r="D10">
        <v>119</v>
      </c>
      <c r="E10" t="str">
        <f t="shared" si="0"/>
        <v>Normal</v>
      </c>
      <c r="F10" t="str" cm="1">
        <f t="array" ref="F10">_xlfn.IFS(D10&lt;120, "Normal", D10&lt;= 129, "Elevated",D10&gt;=130, "High")</f>
        <v>Normal</v>
      </c>
    </row>
    <row r="11" spans="1:6" x14ac:dyDescent="0.35">
      <c r="A11" t="s">
        <v>21</v>
      </c>
      <c r="B11" t="s">
        <v>22</v>
      </c>
      <c r="C11">
        <v>70</v>
      </c>
      <c r="D11">
        <v>160</v>
      </c>
      <c r="E11" t="str">
        <f t="shared" si="0"/>
        <v>High</v>
      </c>
      <c r="F11" t="str" cm="1">
        <f t="array" ref="F11">_xlfn.IFS(D11&lt;120, "Normal", D11&lt;= 129, "Elevated",D11&gt;=130, "High")</f>
        <v>High</v>
      </c>
    </row>
    <row r="12" spans="1:6" x14ac:dyDescent="0.35">
      <c r="A12" t="s">
        <v>23</v>
      </c>
      <c r="B12" t="s">
        <v>24</v>
      </c>
      <c r="C12">
        <v>65</v>
      </c>
      <c r="D12">
        <v>130</v>
      </c>
      <c r="E12" t="str">
        <f t="shared" si="0"/>
        <v>High</v>
      </c>
      <c r="F12" t="str" cm="1">
        <f t="array" ref="F12">_xlfn.IFS(D12&lt;120, "Normal", D12&lt;= 129, "Elevated",D12&gt;=130, "High")</f>
        <v>High</v>
      </c>
    </row>
    <row r="13" spans="1:6" x14ac:dyDescent="0.35">
      <c r="A13" t="s">
        <v>25</v>
      </c>
      <c r="B13" t="s">
        <v>26</v>
      </c>
      <c r="C13">
        <v>58</v>
      </c>
      <c r="D13">
        <v>122</v>
      </c>
      <c r="E13" t="str">
        <f t="shared" si="0"/>
        <v>Elevated</v>
      </c>
      <c r="F13" t="str" cm="1">
        <f t="array" ref="F13">_xlfn.IFS(D13&lt;120, "Normal", D13&lt;= 129, "Elevated",D13&gt;=130, "High")</f>
        <v>Elevated</v>
      </c>
    </row>
    <row r="14" spans="1:6" x14ac:dyDescent="0.35">
      <c r="A14" t="s">
        <v>27</v>
      </c>
      <c r="B14" t="s">
        <v>28</v>
      </c>
      <c r="C14">
        <v>41</v>
      </c>
      <c r="D14">
        <v>115</v>
      </c>
      <c r="E14" t="str">
        <f t="shared" si="0"/>
        <v>Normal</v>
      </c>
      <c r="F14" t="str" cm="1">
        <f t="array" ref="F14">_xlfn.IFS(D14&lt;120, "Normal", D14&lt;= 129, "Elevated",D14&gt;=130, "High")</f>
        <v>Normal</v>
      </c>
    </row>
    <row r="15" spans="1:6" x14ac:dyDescent="0.35">
      <c r="A15" t="s">
        <v>29</v>
      </c>
      <c r="B15" t="s">
        <v>30</v>
      </c>
      <c r="C15">
        <v>66</v>
      </c>
      <c r="D15">
        <v>138</v>
      </c>
      <c r="E15" t="str">
        <f t="shared" si="0"/>
        <v>High</v>
      </c>
      <c r="F15" t="str" cm="1">
        <f t="array" ref="F15">_xlfn.IFS(D15&lt;120, "Normal", D15&lt;= 129, "Elevated",D15&gt;=130, "High")</f>
        <v>High</v>
      </c>
    </row>
    <row r="16" spans="1:6" x14ac:dyDescent="0.35">
      <c r="A16" t="s">
        <v>31</v>
      </c>
      <c r="B16" t="s">
        <v>32</v>
      </c>
      <c r="C16">
        <v>23</v>
      </c>
      <c r="D16">
        <v>129</v>
      </c>
      <c r="E16" t="str">
        <f t="shared" si="0"/>
        <v>Elevated</v>
      </c>
      <c r="F16" t="str" cm="1">
        <f t="array" ref="F16">_xlfn.IFS(D16&lt;120, "Normal", D16&lt;= 129, "Elevated",D16&gt;=130, "High")</f>
        <v>Elevated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2026-09-25T23:02:52Z</dcterms:created>
  <dcterms:modified xsi:type="dcterms:W3CDTF">2026-09-25T23:38:01Z</dcterms:modified>
</cp:coreProperties>
</file>