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F1478C8F-9D5F-4AE1-BB75-5F437E712709}" xr6:coauthVersionLast="47" xr6:coauthVersionMax="47" xr10:uidLastSave="{00000000-0000-0000-0000-000000000000}"/>
  <bookViews>
    <workbookView xWindow="-110" yWindow="-110" windowWidth="19420" windowHeight="10300" xr2:uid="{91AA1E9F-651C-45DE-95E6-528218E05CC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A1" i="1" a="1"/>
  <c r="A1" i="1" s="1"/>
  <c r="F17" i="1"/>
  <c r="K12" i="1"/>
  <c r="K13" i="1"/>
  <c r="K14" i="1"/>
  <c r="K15" i="1"/>
  <c r="K16" i="1"/>
  <c r="K3" i="1"/>
  <c r="K4" i="1"/>
  <c r="K5" i="1"/>
  <c r="K6" i="1"/>
  <c r="K7" i="1"/>
  <c r="K8" i="1"/>
  <c r="K9" i="1"/>
  <c r="K10" i="1"/>
  <c r="K11" i="1"/>
  <c r="K2" i="1"/>
  <c r="K1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A2" i="1" a="1"/>
  <c r="A2" i="1" s="1"/>
  <c r="J17" i="1" l="1"/>
  <c r="D17" i="1"/>
  <c r="E5" i="1" l="1"/>
  <c r="E19" i="1"/>
  <c r="E9" i="1"/>
  <c r="E6" i="1"/>
  <c r="E14" i="1"/>
  <c r="E10" i="1"/>
  <c r="E7" i="1"/>
  <c r="E3" i="1"/>
  <c r="E15" i="1"/>
  <c r="E11" i="1"/>
  <c r="E8" i="1"/>
  <c r="E4" i="1"/>
  <c r="E16" i="1"/>
  <c r="E12" i="1"/>
  <c r="E13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<sst xmlns="http://schemas.openxmlformats.org/spreadsheetml/2006/main" count="9" uniqueCount="9">
  <si>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%_of_Total_Billing</t>
  </si>
  <si>
    <t>Previous Bill</t>
  </si>
  <si>
    <t>Target Bill</t>
  </si>
  <si>
    <t>%Change</t>
  </si>
  <si>
    <t>Target Attainment</t>
  </si>
  <si>
    <t>5%_Increase</t>
  </si>
  <si>
    <t>10%_Discount</t>
  </si>
  <si>
    <t>%Increase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</si>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</sst>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;[Red]&quot;$&quot;#,##0.00"/>
    <numFmt numFmtId="166" formatCode="&quot;$&quot;#,##0;[Red]&quot;$&quot;#,##0"/>
    <numFmt numFmtId="176" formatCode="#,##0.00;[Red]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2" applyFont="1"/>
    <xf numFmtId="0" fontId="0" fillId="0" borderId="1" xfId="0" applyBorder="1"/>
    <xf numFmtId="0" fontId="0" fillId="2" borderId="2" xfId="0" applyFill="1" applyBorder="1"/>
    <xf numFmtId="166" fontId="0" fillId="2" borderId="2" xfId="0" applyNumberFormat="1" applyFill="1" applyBorder="1"/>
    <xf numFmtId="176" fontId="0" fillId="2" borderId="2" xfId="0" applyNumberFormat="1" applyFill="1" applyBorder="1"/>
    <xf numFmtId="0" fontId="0" fillId="0" borderId="2" xfId="0" applyBorder="1"/>
    <xf numFmtId="166" fontId="0" fillId="0" borderId="2" xfId="0" applyNumberFormat="1" applyBorder="1"/>
    <xf numFmtId="10" fontId="0" fillId="0" borderId="2" xfId="0" applyNumberFormat="1" applyBorder="1"/>
    <xf numFmtId="5" fontId="0" fillId="0" borderId="2" xfId="1" applyNumberFormat="1" applyFont="1" applyBorder="1"/>
    <xf numFmtId="9" fontId="0" fillId="0" borderId="2" xfId="2" applyFont="1" applyBorder="1"/>
    <xf numFmtId="10" fontId="0" fillId="0" borderId="2" xfId="2" applyNumberFormat="1" applyFont="1" applyBorder="1"/>
    <xf numFmtId="164" fontId="0" fillId="0" borderId="2" xfId="0" applyNumberFormat="1" applyBorder="1"/>
    <xf numFmtId="0" fontId="2" fillId="0" borderId="2" xfId="0" applyFont="1" applyBorder="1"/>
    <xf numFmtId="164" fontId="2" fillId="0" borderId="2" xfId="0" applyNumberFormat="1" applyFont="1" applyBorder="1"/>
    <xf numFmtId="5" fontId="2" fillId="0" borderId="2" xfId="0" applyNumberFormat="1" applyFont="1" applyBorder="1"/>
    <xf numFmtId="166" fontId="2" fillId="0" borderId="2" xfId="0" applyNumberFormat="1" applyFont="1" applyBorder="1"/>
    <xf numFmtId="10" fontId="2" fillId="0" borderId="2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ata%20Analysis%20learning\Excel\Session-05-Drill.xlsx" TargetMode="External"/><Relationship Id="rId1" Type="http://schemas.openxmlformats.org/officeDocument/2006/relationships/externalLinkPath" Target="Session-05-Dr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1305-E213-47D4-9846-4A51361DBF7B}">
  <dimension ref="A1:L19"/>
  <sheetViews>
    <sheetView tabSelected="1" workbookViewId="0">
      <selection activeCell="E1" sqref="E1"/>
    </sheetView>
  </sheetViews>
  <sheetFormatPr defaultRowHeight="14.5" x14ac:dyDescent="0.35"/>
  <cols>
    <col min="1" max="1" width="9.1796875" bestFit="1" customWidth="1"/>
    <col min="2" max="2" width="13.26953125" bestFit="1" customWidth="1"/>
    <col min="3" max="3" width="10.54296875" bestFit="1" customWidth="1"/>
    <col min="4" max="4" width="12.7265625" bestFit="1" customWidth="1"/>
    <col min="5" max="5" width="15.26953125" bestFit="1" customWidth="1"/>
    <col min="6" max="6" width="15.26953125" customWidth="1"/>
    <col min="8" max="8" width="8.90625" bestFit="1" customWidth="1"/>
    <col min="9" max="9" width="15.36328125" bestFit="1" customWidth="1"/>
    <col min="10" max="10" width="24.1796875" bestFit="1" customWidth="1"/>
    <col min="11" max="11" width="12.453125" bestFit="1" customWidth="1"/>
    <col min="13" max="13" width="10.08984375" customWidth="1"/>
  </cols>
  <sheetData>
    <row r="1" spans="1:12" x14ac:dyDescent="0.35">
      <c r="A1" s="3" t="str" cm="1">
        <f t="array" ref="A1:D1">_xlfn.CHOOSECOLS([1]!finance[#Headers],1,2,4,6)</f>
        <v>Patient_ID</v>
      </c>
      <c r="B1" s="3" t="str">
        <v>Patient_Name</v>
      </c>
      <c r="C1" s="3" t="str">
        <v>Department</v>
      </c>
      <c r="D1" s="4" t="str">
        <v>Billing_Amount</v>
      </c>
      <c r="E1" s="3" t="s">
        <v>0</v>
      </c>
      <c r="F1" s="3" t="s">
        <v>1</v>
      </c>
      <c r="G1" s="3" t="s">
        <v>3</v>
      </c>
      <c r="H1" s="3" t="s">
        <v>2</v>
      </c>
      <c r="I1" s="3" t="s">
        <v>4</v>
      </c>
      <c r="J1" s="5" t="s">
        <v>5</v>
      </c>
      <c r="K1" s="5" t="s">
        <v>6</v>
      </c>
    </row>
    <row r="2" spans="1:12" x14ac:dyDescent="0.35">
      <c r="A2" s="6" t="str" cm="1">
        <f t="array" ref="A2:D16">_xlfn.CHOOSECOLS([1]!finance[#Data], 1, 2, 4, 6)</f>
        <v>PT-101</v>
      </c>
      <c r="B2" s="6" t="str">
        <v>Sarah Jenkins</v>
      </c>
      <c r="C2" s="6" t="str">
        <v>Cardiology</v>
      </c>
      <c r="D2" s="7">
        <v>1450</v>
      </c>
      <c r="E2" s="8">
        <f>D2/$D$17</f>
        <v>5.5984555984555984E-2</v>
      </c>
      <c r="F2" s="9">
        <v>1200</v>
      </c>
      <c r="G2" s="10">
        <f>(D2-F2)/F2</f>
        <v>0.20833333333333334</v>
      </c>
      <c r="H2" s="7">
        <v>1500</v>
      </c>
      <c r="I2" s="11">
        <f>D2/H2</f>
        <v>0.96666666666666667</v>
      </c>
      <c r="J2" s="12">
        <f>D2*(1+0.05)</f>
        <v>1522.5</v>
      </c>
      <c r="K2" s="12">
        <f>D2*(1-0.1)</f>
        <v>1305</v>
      </c>
    </row>
    <row r="3" spans="1:12" x14ac:dyDescent="0.35">
      <c r="A3" s="6" t="str">
        <v>PT-102</v>
      </c>
      <c r="B3" s="6" t="str">
        <v xml:space="preserve">Marcus Vance </v>
      </c>
      <c r="C3" s="6" t="str">
        <v>Cardiology</v>
      </c>
      <c r="D3" s="7">
        <v>850</v>
      </c>
      <c r="E3" s="8">
        <f t="shared" ref="E3:E16" si="0">D3/$D$17</f>
        <v>3.2818532818532815E-2</v>
      </c>
      <c r="F3" s="9">
        <v>900</v>
      </c>
      <c r="G3" s="10">
        <f t="shared" ref="G3:G16" si="1">(D3-F3)/F3</f>
        <v>-5.5555555555555552E-2</v>
      </c>
      <c r="H3" s="7">
        <v>1000</v>
      </c>
      <c r="I3" s="11">
        <f t="shared" ref="I3:I16" si="2">D3/H3</f>
        <v>0.85</v>
      </c>
      <c r="J3" s="12">
        <f t="shared" ref="J3:J16" si="3">D3*(1+0.05)</f>
        <v>892.5</v>
      </c>
      <c r="K3" s="12">
        <f t="shared" ref="K3:K16" si="4">D3*(1-0.1)</f>
        <v>765</v>
      </c>
    </row>
    <row r="4" spans="1:12" x14ac:dyDescent="0.35">
      <c r="A4" s="6" t="str">
        <v>PT-103</v>
      </c>
      <c r="B4" s="6" t="str">
        <v>Elena Rostova</v>
      </c>
      <c r="C4" s="6" t="str">
        <v>Cardiology</v>
      </c>
      <c r="D4" s="7">
        <v>1200</v>
      </c>
      <c r="E4" s="8">
        <f t="shared" si="0"/>
        <v>4.633204633204633E-2</v>
      </c>
      <c r="F4" s="9">
        <v>1100</v>
      </c>
      <c r="G4" s="10">
        <f t="shared" si="1"/>
        <v>9.0909090909090912E-2</v>
      </c>
      <c r="H4" s="7">
        <v>1200</v>
      </c>
      <c r="I4" s="11">
        <f t="shared" si="2"/>
        <v>1</v>
      </c>
      <c r="J4" s="12">
        <f t="shared" si="3"/>
        <v>1260</v>
      </c>
      <c r="K4" s="12">
        <f t="shared" si="4"/>
        <v>1080</v>
      </c>
    </row>
    <row r="5" spans="1:12" x14ac:dyDescent="0.35">
      <c r="A5" s="6" t="str">
        <v>PT-104</v>
      </c>
      <c r="B5" s="6" t="str">
        <v>David Kim</v>
      </c>
      <c r="C5" s="6" t="str">
        <v>Emergency</v>
      </c>
      <c r="D5" s="7">
        <v>3100</v>
      </c>
      <c r="E5" s="8">
        <f t="shared" si="0"/>
        <v>0.11969111969111969</v>
      </c>
      <c r="F5" s="9">
        <v>2800</v>
      </c>
      <c r="G5" s="10">
        <f t="shared" si="1"/>
        <v>0.10714285714285714</v>
      </c>
      <c r="H5" s="7">
        <v>2500</v>
      </c>
      <c r="I5" s="11">
        <f t="shared" si="2"/>
        <v>1.24</v>
      </c>
      <c r="J5" s="12">
        <f t="shared" si="3"/>
        <v>3255</v>
      </c>
      <c r="K5" s="12">
        <f t="shared" si="4"/>
        <v>2790</v>
      </c>
    </row>
    <row r="6" spans="1:12" x14ac:dyDescent="0.35">
      <c r="A6" s="6" t="str">
        <v>PT-105</v>
      </c>
      <c r="B6" s="6" t="str">
        <v>Aisha Bello</v>
      </c>
      <c r="C6" s="6" t="str">
        <v>Emergency</v>
      </c>
      <c r="D6" s="7">
        <v>950</v>
      </c>
      <c r="E6" s="8">
        <f t="shared" si="0"/>
        <v>3.6679536679536683E-2</v>
      </c>
      <c r="F6" s="9">
        <v>1000</v>
      </c>
      <c r="G6" s="10">
        <f t="shared" si="1"/>
        <v>-0.05</v>
      </c>
      <c r="H6" s="7">
        <v>1000</v>
      </c>
      <c r="I6" s="11">
        <f t="shared" si="2"/>
        <v>0.95</v>
      </c>
      <c r="J6" s="12">
        <f t="shared" si="3"/>
        <v>997.5</v>
      </c>
      <c r="K6" s="12">
        <f t="shared" si="4"/>
        <v>855</v>
      </c>
    </row>
    <row r="7" spans="1:12" x14ac:dyDescent="0.35">
      <c r="A7" s="6" t="str">
        <v>PT-106</v>
      </c>
      <c r="B7" s="6" t="str">
        <v>James Wilson</v>
      </c>
      <c r="C7" s="6" t="str">
        <v>Emergency</v>
      </c>
      <c r="D7" s="7">
        <v>450</v>
      </c>
      <c r="E7" s="8">
        <f t="shared" si="0"/>
        <v>1.7374517374517374E-2</v>
      </c>
      <c r="F7" s="9">
        <v>500</v>
      </c>
      <c r="G7" s="10">
        <f t="shared" si="1"/>
        <v>-0.1</v>
      </c>
      <c r="H7" s="7">
        <v>500</v>
      </c>
      <c r="I7" s="11">
        <f t="shared" si="2"/>
        <v>0.9</v>
      </c>
      <c r="J7" s="12">
        <f t="shared" si="3"/>
        <v>472.5</v>
      </c>
      <c r="K7" s="12">
        <f t="shared" si="4"/>
        <v>405</v>
      </c>
    </row>
    <row r="8" spans="1:12" x14ac:dyDescent="0.35">
      <c r="A8" s="6" t="str">
        <v>PT-107</v>
      </c>
      <c r="B8" s="6" t="str">
        <v>Chloe Bennett</v>
      </c>
      <c r="C8" s="6" t="str">
        <v>Cardiology</v>
      </c>
      <c r="D8" s="7">
        <v>1800</v>
      </c>
      <c r="E8" s="8">
        <f t="shared" si="0"/>
        <v>6.9498069498069498E-2</v>
      </c>
      <c r="F8" s="9">
        <v>1600</v>
      </c>
      <c r="G8" s="10">
        <f t="shared" si="1"/>
        <v>0.125</v>
      </c>
      <c r="H8" s="7">
        <v>2000</v>
      </c>
      <c r="I8" s="11">
        <f t="shared" si="2"/>
        <v>0.9</v>
      </c>
      <c r="J8" s="12">
        <f t="shared" si="3"/>
        <v>1890</v>
      </c>
      <c r="K8" s="12">
        <f t="shared" si="4"/>
        <v>1620</v>
      </c>
      <c r="L8" s="2"/>
    </row>
    <row r="9" spans="1:12" x14ac:dyDescent="0.35">
      <c r="A9" s="6" t="str">
        <v>PT-108</v>
      </c>
      <c r="B9" s="6" t="str">
        <v>Mateo Garcia</v>
      </c>
      <c r="C9" s="6" t="str">
        <v>Cardiology</v>
      </c>
      <c r="D9" s="7">
        <v>2100</v>
      </c>
      <c r="E9" s="8">
        <f t="shared" si="0"/>
        <v>8.1081081081081086E-2</v>
      </c>
      <c r="F9" s="9">
        <v>2000</v>
      </c>
      <c r="G9" s="10">
        <f t="shared" si="1"/>
        <v>0.05</v>
      </c>
      <c r="H9" s="7">
        <v>2000</v>
      </c>
      <c r="I9" s="11">
        <f t="shared" si="2"/>
        <v>1.05</v>
      </c>
      <c r="J9" s="12">
        <f t="shared" si="3"/>
        <v>2205</v>
      </c>
      <c r="K9" s="12">
        <f t="shared" si="4"/>
        <v>1890</v>
      </c>
    </row>
    <row r="10" spans="1:12" x14ac:dyDescent="0.35">
      <c r="A10" s="6" t="str">
        <v>PT-109</v>
      </c>
      <c r="B10" s="6" t="str">
        <v>Fatima Aliyu</v>
      </c>
      <c r="C10" s="6" t="str">
        <v>Cardiology</v>
      </c>
      <c r="D10" s="7">
        <v>1650</v>
      </c>
      <c r="E10" s="8">
        <f t="shared" si="0"/>
        <v>6.3706563706563704E-2</v>
      </c>
      <c r="F10" s="9">
        <v>1500</v>
      </c>
      <c r="G10" s="10">
        <f t="shared" si="1"/>
        <v>0.1</v>
      </c>
      <c r="H10" s="7">
        <v>1800</v>
      </c>
      <c r="I10" s="11">
        <f t="shared" si="2"/>
        <v>0.91666666666666663</v>
      </c>
      <c r="J10" s="12">
        <f t="shared" si="3"/>
        <v>1732.5</v>
      </c>
      <c r="K10" s="12">
        <f t="shared" si="4"/>
        <v>1485</v>
      </c>
    </row>
    <row r="11" spans="1:12" x14ac:dyDescent="0.35">
      <c r="A11" s="6" t="str">
        <v>PT-110</v>
      </c>
      <c r="B11" s="6" t="str">
        <v>Liam O'Connor</v>
      </c>
      <c r="C11" s="6" t="str">
        <v>Cardiology</v>
      </c>
      <c r="D11" s="7">
        <v>4200</v>
      </c>
      <c r="E11" s="8">
        <f t="shared" si="0"/>
        <v>0.16216216216216217</v>
      </c>
      <c r="F11" s="9">
        <v>3800</v>
      </c>
      <c r="G11" s="10">
        <f t="shared" si="1"/>
        <v>0.10526315789473684</v>
      </c>
      <c r="H11" s="7">
        <v>3500</v>
      </c>
      <c r="I11" s="11">
        <f t="shared" si="2"/>
        <v>1.2</v>
      </c>
      <c r="J11" s="12">
        <f t="shared" si="3"/>
        <v>4410</v>
      </c>
      <c r="K11" s="12">
        <f t="shared" si="4"/>
        <v>3780</v>
      </c>
    </row>
    <row r="12" spans="1:12" x14ac:dyDescent="0.35">
      <c r="A12" s="6" t="str">
        <v>PT-111</v>
      </c>
      <c r="B12" s="6" t="str">
        <v>Zoe Adams</v>
      </c>
      <c r="C12" s="6" t="str">
        <v>Cardiology</v>
      </c>
      <c r="D12" s="7">
        <v>3800</v>
      </c>
      <c r="E12" s="8">
        <f t="shared" si="0"/>
        <v>0.14671814671814673</v>
      </c>
      <c r="F12" s="9">
        <v>3500</v>
      </c>
      <c r="G12" s="10">
        <f t="shared" si="1"/>
        <v>8.5714285714285715E-2</v>
      </c>
      <c r="H12" s="7">
        <v>3500</v>
      </c>
      <c r="I12" s="11">
        <f t="shared" si="2"/>
        <v>1.0857142857142856</v>
      </c>
      <c r="J12" s="12">
        <f t="shared" si="3"/>
        <v>3990</v>
      </c>
      <c r="K12" s="12">
        <f t="shared" si="4"/>
        <v>3420</v>
      </c>
    </row>
    <row r="13" spans="1:12" x14ac:dyDescent="0.35">
      <c r="A13" s="6" t="str">
        <v>PT-112</v>
      </c>
      <c r="B13" s="6" t="str">
        <v>Noah Campbell</v>
      </c>
      <c r="C13" s="6" t="str">
        <v>Cardiology</v>
      </c>
      <c r="D13" s="7">
        <v>2900</v>
      </c>
      <c r="E13" s="8">
        <f t="shared" si="0"/>
        <v>0.11196911196911197</v>
      </c>
      <c r="F13" s="9">
        <v>3100</v>
      </c>
      <c r="G13" s="10">
        <f t="shared" si="1"/>
        <v>-6.4516129032258063E-2</v>
      </c>
      <c r="H13" s="7">
        <v>3000</v>
      </c>
      <c r="I13" s="11">
        <f t="shared" si="2"/>
        <v>0.96666666666666667</v>
      </c>
      <c r="J13" s="12">
        <f t="shared" si="3"/>
        <v>3045</v>
      </c>
      <c r="K13" s="12">
        <f t="shared" si="4"/>
        <v>2610</v>
      </c>
    </row>
    <row r="14" spans="1:12" x14ac:dyDescent="0.35">
      <c r="A14" s="6" t="str">
        <v>PT-113</v>
      </c>
      <c r="B14" s="6" t="str">
        <v>Amara Okafor</v>
      </c>
      <c r="C14" s="6" t="str">
        <v>Pediatrics</v>
      </c>
      <c r="D14" s="7">
        <v>600</v>
      </c>
      <c r="E14" s="8">
        <f t="shared" si="0"/>
        <v>2.3166023166023165E-2</v>
      </c>
      <c r="F14" s="9">
        <v>600</v>
      </c>
      <c r="G14" s="10">
        <f t="shared" si="1"/>
        <v>0</v>
      </c>
      <c r="H14" s="7">
        <v>700</v>
      </c>
      <c r="I14" s="11">
        <f t="shared" si="2"/>
        <v>0.8571428571428571</v>
      </c>
      <c r="J14" s="12">
        <f t="shared" si="3"/>
        <v>630</v>
      </c>
      <c r="K14" s="12">
        <f t="shared" si="4"/>
        <v>540</v>
      </c>
    </row>
    <row r="15" spans="1:12" x14ac:dyDescent="0.35">
      <c r="A15" s="6" t="str">
        <v>PT-114</v>
      </c>
      <c r="B15" s="6" t="str">
        <v>Lucas Meyer</v>
      </c>
      <c r="C15" s="6" t="str">
        <v>Pediatrics</v>
      </c>
      <c r="D15" s="7">
        <v>350</v>
      </c>
      <c r="E15" s="8">
        <f t="shared" si="0"/>
        <v>1.3513513513513514E-2</v>
      </c>
      <c r="F15" s="9">
        <v>400</v>
      </c>
      <c r="G15" s="10">
        <f t="shared" si="1"/>
        <v>-0.125</v>
      </c>
      <c r="H15" s="7">
        <v>400</v>
      </c>
      <c r="I15" s="11">
        <f t="shared" si="2"/>
        <v>0.875</v>
      </c>
      <c r="J15" s="12">
        <f t="shared" si="3"/>
        <v>367.5</v>
      </c>
      <c r="K15" s="12">
        <f t="shared" si="4"/>
        <v>315</v>
      </c>
    </row>
    <row r="16" spans="1:12" x14ac:dyDescent="0.35">
      <c r="A16" s="6" t="str">
        <v>PT-115</v>
      </c>
      <c r="B16" s="6" t="str">
        <v>Nia Patel</v>
      </c>
      <c r="C16" s="6" t="str">
        <v>Pediatrics</v>
      </c>
      <c r="D16" s="7">
        <v>500</v>
      </c>
      <c r="E16" s="8">
        <f t="shared" si="0"/>
        <v>1.9305019305019305E-2</v>
      </c>
      <c r="F16" s="9">
        <v>500</v>
      </c>
      <c r="G16" s="10">
        <f t="shared" si="1"/>
        <v>0</v>
      </c>
      <c r="H16" s="7">
        <v>500</v>
      </c>
      <c r="I16" s="11">
        <f t="shared" si="2"/>
        <v>1</v>
      </c>
      <c r="J16" s="12">
        <f t="shared" si="3"/>
        <v>525</v>
      </c>
      <c r="K16" s="12">
        <f t="shared" si="4"/>
        <v>450</v>
      </c>
    </row>
    <row r="17" spans="1:11" x14ac:dyDescent="0.35">
      <c r="A17" s="13" t="s">
        <v>8</v>
      </c>
      <c r="B17" s="6"/>
      <c r="C17" s="6"/>
      <c r="D17" s="16">
        <f>SUM(D2:D16)</f>
        <v>25900</v>
      </c>
      <c r="E17" s="17">
        <f>SUM(E2:E16)</f>
        <v>1</v>
      </c>
      <c r="F17" s="15">
        <f>SUM(F2:F16)</f>
        <v>24500</v>
      </c>
      <c r="G17" s="6"/>
      <c r="H17" s="6"/>
      <c r="I17" s="6"/>
      <c r="J17" s="14">
        <f>SUM(J2:J16)</f>
        <v>27195</v>
      </c>
      <c r="K17" s="14">
        <f>SUM(K2:K16)</f>
        <v>23310</v>
      </c>
    </row>
    <row r="19" spans="1:11" x14ac:dyDescent="0.35">
      <c r="D19" t="s">
        <v>7</v>
      </c>
      <c r="E19" s="1">
        <f>(D17-F17)/F17</f>
        <v>5.7142857142857141E-2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2026-09-22T15:50:21Z</dcterms:created>
  <dcterms:modified xsi:type="dcterms:W3CDTF">2026-09-22T18:38:41Z</dcterms:modified>
</cp:coreProperties>
</file>