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 Analysis learning\Excel\"/>
    </mc:Choice>
  </mc:AlternateContent>
  <xr:revisionPtr revIDLastSave="0" documentId="8_{F2162948-3E61-436A-AC80-44AAEB03B939}" xr6:coauthVersionLast="47" xr6:coauthVersionMax="47" xr10:uidLastSave="{00000000-0000-0000-0000-000000000000}"/>
  <bookViews>
    <workbookView xWindow="-110" yWindow="-110" windowWidth="19420" windowHeight="10300" xr2:uid="{AA13F9C0-29EA-44F4-B5A5-C65246D47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" i="1" l="1"/>
  <c r="H1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<sst xmlns="http://schemas.openxmlformats.org/spreadsheetml/2006/main" count="34" uniqueCount="34">
  <si>
    <t>Patient_ID</t>
  </si>
  <si>
    <t>Patient_Name</t>
  </si>
  <si>
    <t>PT-101</t>
  </si>
  <si>
    <t>Sarah Jenkins</t>
  </si>
  <si>
    <t>PT-102</t>
  </si>
  <si>
    <t xml:space="preserve">Marcus Vance </t>
  </si>
  <si>
    <t>PT-103</t>
  </si>
  <si>
    <t>Elena Rostova</t>
  </si>
  <si>
    <t>PT-104</t>
  </si>
  <si>
    <t>David Kim</t>
  </si>
  <si>
    <t>PT-105</t>
  </si>
  <si>
    <t>Aisha Bello</t>
  </si>
  <si>
    <t>PT-106</t>
  </si>
  <si>
    <t>James Wilson</t>
  </si>
  <si>
    <t>PT-107</t>
  </si>
  <si>
    <t>Chloe Bennett</t>
  </si>
  <si>
    <t>PT-108</t>
  </si>
  <si>
    <t>Mateo Garcia</t>
  </si>
  <si>
    <t>PT-109</t>
  </si>
  <si>
    <t>Fatima Aliyu</t>
  </si>
  <si>
    <t>PT-110</t>
  </si>
  <si>
    <t>Liam O'Connor</t>
  </si>
  <si>
    <t>PT-111</t>
  </si>
  <si>
    <t>Zoe Adams</t>
  </si>
  <si>
    <t>PT-112</t>
  </si>
  <si>
    <t>Noah Campbell</t>
  </si>
  <si>
    <t>PT-113</t>
  </si>
  <si>
    <t>Amara Okafor</t>
  </si>
  <si>
    <t>PT-114</t>
  </si>
  <si>
    <t>Lucas Meyer</t>
  </si>
  <si>
    <t>PT-115</t>
  </si>
  <si>
    <t>Nia Patel</t>
  </si>
  <si>
    <t>Age</t>
  </si>
  <si>
    <t>Age_Status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</si>
</sst>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B415CE-7FE4-4D16-8BC4-5E07C056BD2B}" name="Table1" displayName="Table1" ref="A1:D16" totalsRowShown="0">
  <autoFilter ref="A1:D16" xr:uid="{E9B415CE-7FE4-4D16-8BC4-5E07C056BD2B}"/>
  <tableColumns count="4">
    <tableColumn id="1" xr3:uid="{72FB272B-7348-4730-BBF5-E576FE34F639}" name="Patient_ID"/>
    <tableColumn id="2" xr3:uid="{56596CC6-F823-41A5-9CCB-44AB44F789E4}" name="Patient_Name"/>
    <tableColumn id="3" xr3:uid="{472100E9-A2CD-4272-91D6-9C5DD76EB04A}" name="Age"/>
    <tableColumn id="4" xr3:uid="{E72309CC-3E60-4589-A684-3E8E7982E604}" name="Age_Status">
      <calculatedColumnFormula>IF(C2&gt;=65,"Senior","Adult")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5AD3D-A26E-45C2-A6B0-329D84FC75E5}">
  <dimension ref="A1:H16"/>
  <sheetViews>
    <sheetView tabSelected="1" workbookViewId="0">
      <selection activeCell="H14" sqref="H14"/>
    </sheetView>
  </sheetViews>
  <sheetFormatPr defaultRowHeight="14.5" x14ac:dyDescent="0.35"/>
  <cols>
    <col min="1" max="1" width="11.453125" customWidth="1"/>
    <col min="2" max="2" width="14.54296875" customWidth="1"/>
    <col min="4" max="4" width="12" customWidth="1"/>
  </cols>
  <sheetData>
    <row r="1" spans="1:8" x14ac:dyDescent="0.35">
      <c r="A1" t="s">
        <v>0</v>
      </c>
      <c r="B1" t="s">
        <v>1</v>
      </c>
      <c r="C1" t="s">
        <v>32</v>
      </c>
      <c r="D1" t="s">
        <v>33</v>
      </c>
    </row>
    <row r="2" spans="1:8" x14ac:dyDescent="0.35">
      <c r="A2" t="s">
        <v>2</v>
      </c>
      <c r="B2" t="s">
        <v>3</v>
      </c>
      <c r="C2">
        <v>72</v>
      </c>
      <c r="D2" t="str">
        <f>IF(C2&gt;=65,"Senior","Adult")</f>
        <v>Senior</v>
      </c>
    </row>
    <row r="3" spans="1:8" x14ac:dyDescent="0.35">
      <c r="A3" t="s">
        <v>4</v>
      </c>
      <c r="B3" t="s">
        <v>5</v>
      </c>
      <c r="C3">
        <v>45</v>
      </c>
      <c r="D3" t="str">
        <f t="shared" ref="D3:D16" si="0">IF(C3&gt;=65,"Senior","Adult")</f>
        <v>Adult</v>
      </c>
    </row>
    <row r="4" spans="1:8" x14ac:dyDescent="0.35">
      <c r="A4" t="s">
        <v>6</v>
      </c>
      <c r="B4" t="s">
        <v>7</v>
      </c>
      <c r="C4">
        <v>65</v>
      </c>
      <c r="D4" t="str">
        <f t="shared" si="0"/>
        <v>Senior</v>
      </c>
    </row>
    <row r="5" spans="1:8" x14ac:dyDescent="0.35">
      <c r="A5" t="s">
        <v>8</v>
      </c>
      <c r="B5" t="s">
        <v>9</v>
      </c>
      <c r="C5">
        <v>29</v>
      </c>
      <c r="D5" t="str">
        <f t="shared" si="0"/>
        <v>Adult</v>
      </c>
    </row>
    <row r="6" spans="1:8" x14ac:dyDescent="0.35">
      <c r="A6" t="s">
        <v>10</v>
      </c>
      <c r="B6" t="s">
        <v>11</v>
      </c>
      <c r="C6">
        <v>68</v>
      </c>
      <c r="D6" t="str">
        <f t="shared" si="0"/>
        <v>Senior</v>
      </c>
    </row>
    <row r="7" spans="1:8" x14ac:dyDescent="0.35">
      <c r="A7" t="s">
        <v>12</v>
      </c>
      <c r="B7" t="s">
        <v>13</v>
      </c>
      <c r="C7">
        <v>54</v>
      </c>
      <c r="D7" t="str">
        <f t="shared" si="0"/>
        <v>Adult</v>
      </c>
    </row>
    <row r="8" spans="1:8" x14ac:dyDescent="0.35">
      <c r="A8" t="s">
        <v>14</v>
      </c>
      <c r="B8" t="s">
        <v>15</v>
      </c>
      <c r="C8">
        <v>81</v>
      </c>
      <c r="D8" t="str">
        <f t="shared" si="0"/>
        <v>Senior</v>
      </c>
    </row>
    <row r="9" spans="1:8" x14ac:dyDescent="0.35">
      <c r="A9" t="s">
        <v>16</v>
      </c>
      <c r="B9" t="s">
        <v>17</v>
      </c>
      <c r="C9">
        <v>37</v>
      </c>
      <c r="D9" t="str">
        <f t="shared" si="0"/>
        <v>Adult</v>
      </c>
    </row>
    <row r="10" spans="1:8" x14ac:dyDescent="0.35">
      <c r="A10" t="s">
        <v>18</v>
      </c>
      <c r="B10" t="s">
        <v>19</v>
      </c>
      <c r="C10">
        <v>64</v>
      </c>
      <c r="D10" t="str">
        <f t="shared" si="0"/>
        <v>Adult</v>
      </c>
    </row>
    <row r="11" spans="1:8" x14ac:dyDescent="0.35">
      <c r="A11" t="s">
        <v>20</v>
      </c>
      <c r="B11" t="s">
        <v>21</v>
      </c>
      <c r="C11">
        <v>70</v>
      </c>
      <c r="D11" t="str">
        <f t="shared" si="0"/>
        <v>Senior</v>
      </c>
    </row>
    <row r="12" spans="1:8" x14ac:dyDescent="0.35">
      <c r="A12" t="s">
        <v>22</v>
      </c>
      <c r="B12" t="s">
        <v>23</v>
      </c>
      <c r="C12">
        <v>65</v>
      </c>
      <c r="D12" t="str">
        <f t="shared" si="0"/>
        <v>Senior</v>
      </c>
      <c r="H12">
        <f>COUNTIF(Table1[Age_Status],"senior")</f>
        <v>7</v>
      </c>
    </row>
    <row r="13" spans="1:8" x14ac:dyDescent="0.35">
      <c r="A13" t="s">
        <v>24</v>
      </c>
      <c r="B13" t="s">
        <v>25</v>
      </c>
      <c r="C13">
        <v>58</v>
      </c>
      <c r="D13" t="str">
        <f t="shared" si="0"/>
        <v>Adult</v>
      </c>
      <c r="H13">
        <f>COUNTIF(Table1[Age_Status], "adult")</f>
        <v>8</v>
      </c>
    </row>
    <row r="14" spans="1:8" x14ac:dyDescent="0.35">
      <c r="A14" t="s">
        <v>26</v>
      </c>
      <c r="B14" t="s">
        <v>27</v>
      </c>
      <c r="C14">
        <v>41</v>
      </c>
      <c r="D14" t="str">
        <f t="shared" si="0"/>
        <v>Adult</v>
      </c>
    </row>
    <row r="15" spans="1:8" x14ac:dyDescent="0.35">
      <c r="A15" t="s">
        <v>28</v>
      </c>
      <c r="B15" t="s">
        <v>29</v>
      </c>
      <c r="C15">
        <v>66</v>
      </c>
      <c r="D15" t="str">
        <f t="shared" si="0"/>
        <v>Senior</v>
      </c>
    </row>
    <row r="16" spans="1:8" x14ac:dyDescent="0.35">
      <c r="A16" t="s">
        <v>30</v>
      </c>
      <c r="B16" t="s">
        <v>31</v>
      </c>
      <c r="C16">
        <v>23</v>
      </c>
      <c r="D16" t="str">
        <f t="shared" si="0"/>
        <v>Adult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toyosi emmanuel</dc:creator>
  <cp:lastModifiedBy>toyosi emmanuel</cp:lastModifiedBy>
  <dcterms:created xsi:type="dcterms:W3CDTF">2026-09-24T18:15:34Z</dcterms:created>
  <dcterms:modified xsi:type="dcterms:W3CDTF">2026-09-24T18:38:07Z</dcterms:modified>
</cp:coreProperties>
</file>