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Data Analysis learning\Excel\"/>
    </mc:Choice>
  </mc:AlternateContent>
  <xr:revisionPtr revIDLastSave="0" documentId="13_ncr:1_{B593A78C-D4C7-4014-908C-097F4D9FD82B}" xr6:coauthVersionLast="47" xr6:coauthVersionMax="47" xr10:uidLastSave="{00000000-0000-0000-0000-000000000000}"/>
  <bookViews>
    <workbookView xWindow="-110" yWindow="-110" windowWidth="19420" windowHeight="10300" xr2:uid="{FE74D475-27FC-4842-BF91-AD901ADCB9F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6" i="1" l="1"/>
  <c r="I5" i="1"/>
  <c r="I4" i="1"/>
  <c r="I3" i="1"/>
  <c r="F17" i="1"/>
  <c r="C17" i="1"/>
</calcChain>
</file>

<file path=xl/sharedStrings.xml><?xml version="1.0" encoding="utf-8"?>
<sst xmlns="http://schemas.openxmlformats.org/spreadsheetml/2006/main" count="57" uniqueCount="47">
  <si>
    <t>PATIENT ID</t>
  </si>
  <si>
    <t>FULL NAME</t>
  </si>
  <si>
    <t>AGE</t>
  </si>
  <si>
    <t>DEPARTMENT</t>
  </si>
  <si>
    <t>ADMISSION DATE</t>
  </si>
  <si>
    <t>PT-111</t>
  </si>
  <si>
    <t>Grace Adebayo</t>
  </si>
  <si>
    <t>Cardiology</t>
  </si>
  <si>
    <t>PT-106</t>
  </si>
  <si>
    <t>Aaron Patel</t>
  </si>
  <si>
    <t>PT-101</t>
  </si>
  <si>
    <t>Sarah Connor</t>
  </si>
  <si>
    <t>PT-105</t>
  </si>
  <si>
    <t>Chloe Bennett</t>
  </si>
  <si>
    <t>Emergency</t>
  </si>
  <si>
    <t>PT-115</t>
  </si>
  <si>
    <t>Miriam Traore</t>
  </si>
  <si>
    <t>PT-108</t>
  </si>
  <si>
    <t>Samuel Ojo</t>
  </si>
  <si>
    <t>PT-109</t>
  </si>
  <si>
    <t>Fatima Al-Mansoor</t>
  </si>
  <si>
    <t>Neurology</t>
  </si>
  <si>
    <t>PT-113</t>
  </si>
  <si>
    <t>Zoe Washington</t>
  </si>
  <si>
    <t>PT-104</t>
  </si>
  <si>
    <t>Marcus Vance</t>
  </si>
  <si>
    <t>PT-112</t>
  </si>
  <si>
    <t>Liam O'Connor</t>
  </si>
  <si>
    <t>Oncology</t>
  </si>
  <si>
    <t>PT-107</t>
  </si>
  <si>
    <t>Beatrice Gomez</t>
  </si>
  <si>
    <t>PT-103</t>
  </si>
  <si>
    <t>Elena Rostova</t>
  </si>
  <si>
    <t>PT-102</t>
  </si>
  <si>
    <t>David Miller</t>
  </si>
  <si>
    <t>Pediatrics</t>
  </si>
  <si>
    <t>PT-110</t>
  </si>
  <si>
    <t>Lucas Meyer</t>
  </si>
  <si>
    <t>PT-114</t>
  </si>
  <si>
    <t>Noah Kim</t>
  </si>
  <si>
    <t>Billing_Amount</t>
  </si>
  <si>
    <t>Metric</t>
  </si>
  <si>
    <t>Result</t>
  </si>
  <si>
    <t>Total Revenue</t>
  </si>
  <si>
    <t>Average Charge</t>
  </si>
  <si>
    <t>Lowest Charge</t>
  </si>
  <si>
    <t>Peak Charge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</si>
</sst>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$&quot;#,##0.00_);[Red]\(&quot;$&quot;#,##0.00\)"/>
    <numFmt numFmtId="164" formatCode="yyyy\-mm\-dd;@"/>
    <numFmt numFmtId="172" formatCode="&quot;$&quot;#,##0;[Red]&quot;$&quot;#,##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2" fontId="0" fillId="0" borderId="0" xfId="0" applyNumberFormat="1"/>
    <xf numFmtId="172" fontId="0" fillId="0" borderId="0" xfId="0" applyNumberFormat="1"/>
    <xf numFmtId="8" fontId="0" fillId="0" borderId="0" xfId="0" applyNumberFormat="1"/>
  </cellXfs>
  <cellStyles count="1">
    <cellStyle name="Normal" xfId="0" builtinId="0"/>
  </cellStyles>
  <dxfs count="3">
    <dxf>
      <numFmt numFmtId="172" formatCode="&quot;$&quot;#,##0;[Red]&quot;$&quot;#,##0"/>
    </dxf>
    <dxf>
      <numFmt numFmtId="164" formatCode="yyyy\-mm\-dd;@"/>
    </dxf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EDF9EC9-8536-46AA-A42A-38B400D3E371}" name="Admissions_Record" displayName="Admissions_Record" ref="A1:F17" totalsRowCount="1">
  <autoFilter ref="A1:F16" xr:uid="{DEDF9EC9-8536-46AA-A42A-38B400D3E371}"/>
  <sortState xmlns:xlrd2="http://schemas.microsoft.com/office/spreadsheetml/2017/richdata2" ref="A2:E16">
    <sortCondition ref="D2:D16"/>
    <sortCondition descending="1" ref="C2:C16"/>
  </sortState>
  <tableColumns count="6">
    <tableColumn id="1" xr3:uid="{CFE32DA3-DFCB-4D0D-9766-373F25AB9C5B}" name="PATIENT ID"/>
    <tableColumn id="2" xr3:uid="{71C0CE30-4AFB-420E-B5C8-7161685381C8}" name="FULL NAME"/>
    <tableColumn id="3" xr3:uid="{0D996E53-A82B-4C24-B099-23F335025C0C}" name="AGE" totalsRowFunction="average" totalsRowDxfId="2"/>
    <tableColumn id="4" xr3:uid="{F9ADBDCC-4B6D-4262-B860-9DEEB9017D1F}" name="DEPARTMENT"/>
    <tableColumn id="5" xr3:uid="{E28985CF-5CB5-408B-9659-B34E7A95E33F}" name="ADMISSION DATE" dataDxfId="1"/>
    <tableColumn id="6" xr3:uid="{1D760664-2663-4C4B-9D12-67B06B814B31}" name="Billing_Amount" totalsRowFunction="sum" dataDxfId="0"/>
  </tableColumns>
  <tableStyleInfo name="TableStyleLight20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CE2FC45-90B9-4547-82D8-4C5EC4FCB4A7}" name="Table3" displayName="Table3" ref="H2:I6" totalsRowShown="0">
  <autoFilter ref="H2:I6" xr:uid="{8CE2FC45-90B9-4547-82D8-4C5EC4FCB4A7}"/>
  <tableColumns count="2">
    <tableColumn id="1" xr3:uid="{2A00A0FE-5B3F-46D5-8641-53AD280F5A08}" name="Metric"/>
    <tableColumn id="2" xr3:uid="{105EDA77-5D22-496D-8D75-022FEFC41A1C}" name="Result"/>
  </tableColumns>
  <tableStyleInfo name="TableStyleLight2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D1C3DD-65AD-4725-922F-19539FE9F728}">
  <sheetPr codeName="Sheet1"/>
  <dimension ref="A1:I17"/>
  <sheetViews>
    <sheetView tabSelected="1" workbookViewId="0">
      <selection activeCell="I4" sqref="I4:I6"/>
    </sheetView>
  </sheetViews>
  <sheetFormatPr defaultRowHeight="14.5" x14ac:dyDescent="0.35"/>
  <cols>
    <col min="1" max="1" width="12.453125" bestFit="1" customWidth="1"/>
    <col min="2" max="2" width="16.81640625" bestFit="1" customWidth="1"/>
    <col min="3" max="3" width="6.54296875" bestFit="1" customWidth="1"/>
    <col min="4" max="4" width="14.7265625" bestFit="1" customWidth="1"/>
    <col min="5" max="5" width="17.81640625" bestFit="1" customWidth="1"/>
    <col min="6" max="6" width="15.90625" bestFit="1" customWidth="1"/>
    <col min="8" max="8" width="13.90625" bestFit="1" customWidth="1"/>
    <col min="9" max="9" width="11.81640625" bestFit="1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40</v>
      </c>
    </row>
    <row r="2" spans="1:9" x14ac:dyDescent="0.35">
      <c r="A2" t="s">
        <v>5</v>
      </c>
      <c r="B2" t="s">
        <v>6</v>
      </c>
      <c r="C2">
        <v>64</v>
      </c>
      <c r="D2" t="s">
        <v>7</v>
      </c>
      <c r="E2" s="1">
        <v>46286</v>
      </c>
      <c r="F2" s="3">
        <v>1450</v>
      </c>
      <c r="H2" t="s">
        <v>41</v>
      </c>
      <c r="I2" t="s">
        <v>42</v>
      </c>
    </row>
    <row r="3" spans="1:9" x14ac:dyDescent="0.35">
      <c r="A3" t="s">
        <v>8</v>
      </c>
      <c r="B3" t="s">
        <v>9</v>
      </c>
      <c r="C3">
        <v>52</v>
      </c>
      <c r="D3" t="s">
        <v>7</v>
      </c>
      <c r="E3" s="1">
        <v>46279</v>
      </c>
      <c r="F3" s="3">
        <v>850</v>
      </c>
      <c r="H3" t="s">
        <v>43</v>
      </c>
      <c r="I3" s="3">
        <f>SUM(Admissions_Record[Billing_Amount])</f>
        <v>25900</v>
      </c>
    </row>
    <row r="4" spans="1:9" x14ac:dyDescent="0.35">
      <c r="A4" t="s">
        <v>10</v>
      </c>
      <c r="B4" t="s">
        <v>11</v>
      </c>
      <c r="C4">
        <v>45</v>
      </c>
      <c r="D4" t="s">
        <v>7</v>
      </c>
      <c r="E4" s="1">
        <v>46266</v>
      </c>
      <c r="F4" s="3">
        <v>1200</v>
      </c>
      <c r="H4" t="s">
        <v>44</v>
      </c>
      <c r="I4" s="4">
        <f>AVERAGE(Admissions_Record[Billing_Amount])</f>
        <v>1726.6666666666667</v>
      </c>
    </row>
    <row r="5" spans="1:9" x14ac:dyDescent="0.35">
      <c r="A5" t="s">
        <v>12</v>
      </c>
      <c r="B5" t="s">
        <v>13</v>
      </c>
      <c r="C5">
        <v>63</v>
      </c>
      <c r="D5" t="s">
        <v>14</v>
      </c>
      <c r="E5" s="1">
        <v>46277</v>
      </c>
      <c r="F5" s="3">
        <v>3100</v>
      </c>
      <c r="H5" t="s">
        <v>45</v>
      </c>
      <c r="I5" s="4">
        <f>MIN(Admissions_Record[Billing_Amount])</f>
        <v>350</v>
      </c>
    </row>
    <row r="6" spans="1:9" x14ac:dyDescent="0.35">
      <c r="A6" t="s">
        <v>15</v>
      </c>
      <c r="B6" t="s">
        <v>16</v>
      </c>
      <c r="C6">
        <v>49</v>
      </c>
      <c r="D6" t="s">
        <v>14</v>
      </c>
      <c r="E6" s="1">
        <v>46292</v>
      </c>
      <c r="F6" s="3">
        <v>950</v>
      </c>
      <c r="H6" t="s">
        <v>46</v>
      </c>
      <c r="I6" s="4">
        <f>MAX(Admissions_Record[Billing_Amount])</f>
        <v>4200</v>
      </c>
    </row>
    <row r="7" spans="1:9" x14ac:dyDescent="0.35">
      <c r="A7" t="s">
        <v>17</v>
      </c>
      <c r="B7" t="s">
        <v>18</v>
      </c>
      <c r="C7">
        <v>19</v>
      </c>
      <c r="D7" t="s">
        <v>14</v>
      </c>
      <c r="E7" s="1">
        <v>46281</v>
      </c>
      <c r="F7" s="3">
        <v>450</v>
      </c>
    </row>
    <row r="8" spans="1:9" x14ac:dyDescent="0.35">
      <c r="A8" t="s">
        <v>19</v>
      </c>
      <c r="B8" t="s">
        <v>20</v>
      </c>
      <c r="C8">
        <v>41</v>
      </c>
      <c r="D8" t="s">
        <v>21</v>
      </c>
      <c r="E8" s="1">
        <v>46283</v>
      </c>
      <c r="F8" s="3">
        <v>1800</v>
      </c>
    </row>
    <row r="9" spans="1:9" x14ac:dyDescent="0.35">
      <c r="A9" t="s">
        <v>22</v>
      </c>
      <c r="B9" t="s">
        <v>23</v>
      </c>
      <c r="C9">
        <v>35</v>
      </c>
      <c r="D9" t="s">
        <v>21</v>
      </c>
      <c r="E9" s="1">
        <v>46289</v>
      </c>
      <c r="F9" s="3">
        <v>2100</v>
      </c>
    </row>
    <row r="10" spans="1:9" x14ac:dyDescent="0.35">
      <c r="A10" t="s">
        <v>24</v>
      </c>
      <c r="B10" t="s">
        <v>25</v>
      </c>
      <c r="C10">
        <v>27</v>
      </c>
      <c r="D10" t="s">
        <v>21</v>
      </c>
      <c r="E10" s="1">
        <v>46273</v>
      </c>
      <c r="F10" s="3">
        <v>1650</v>
      </c>
    </row>
    <row r="11" spans="1:9" x14ac:dyDescent="0.35">
      <c r="A11" t="s">
        <v>26</v>
      </c>
      <c r="B11" t="s">
        <v>27</v>
      </c>
      <c r="C11">
        <v>74</v>
      </c>
      <c r="D11" t="s">
        <v>28</v>
      </c>
      <c r="E11" s="1">
        <v>46287</v>
      </c>
      <c r="F11" s="3">
        <v>4200</v>
      </c>
    </row>
    <row r="12" spans="1:9" x14ac:dyDescent="0.35">
      <c r="A12" t="s">
        <v>29</v>
      </c>
      <c r="B12" t="s">
        <v>30</v>
      </c>
      <c r="C12">
        <v>71</v>
      </c>
      <c r="D12" t="s">
        <v>28</v>
      </c>
      <c r="E12" s="1">
        <v>46280</v>
      </c>
      <c r="F12" s="3">
        <v>3800</v>
      </c>
    </row>
    <row r="13" spans="1:9" x14ac:dyDescent="0.35">
      <c r="A13" t="s">
        <v>31</v>
      </c>
      <c r="B13" t="s">
        <v>32</v>
      </c>
      <c r="C13">
        <v>58</v>
      </c>
      <c r="D13" t="s">
        <v>28</v>
      </c>
      <c r="E13" s="1">
        <v>46270</v>
      </c>
      <c r="F13" s="3">
        <v>2900</v>
      </c>
    </row>
    <row r="14" spans="1:9" x14ac:dyDescent="0.35">
      <c r="A14" t="s">
        <v>33</v>
      </c>
      <c r="B14" t="s">
        <v>34</v>
      </c>
      <c r="C14">
        <v>32</v>
      </c>
      <c r="D14" t="s">
        <v>35</v>
      </c>
      <c r="E14" s="1">
        <v>46268</v>
      </c>
      <c r="F14" s="3">
        <v>600</v>
      </c>
    </row>
    <row r="15" spans="1:9" x14ac:dyDescent="0.35">
      <c r="A15" t="s">
        <v>36</v>
      </c>
      <c r="B15" t="s">
        <v>37</v>
      </c>
      <c r="C15">
        <v>8</v>
      </c>
      <c r="D15" t="s">
        <v>35</v>
      </c>
      <c r="E15" s="1">
        <v>46284</v>
      </c>
      <c r="F15" s="3">
        <v>350</v>
      </c>
    </row>
    <row r="16" spans="1:9" x14ac:dyDescent="0.35">
      <c r="A16" t="s">
        <v>38</v>
      </c>
      <c r="B16" t="s">
        <v>39</v>
      </c>
      <c r="C16">
        <v>5</v>
      </c>
      <c r="D16" t="s">
        <v>35</v>
      </c>
      <c r="E16" s="1">
        <v>46290</v>
      </c>
      <c r="F16" s="3">
        <v>500</v>
      </c>
    </row>
    <row r="17" spans="3:6" x14ac:dyDescent="0.35">
      <c r="C17" s="2">
        <f>SUBTOTAL(101,Admissions_Record[AGE])</f>
        <v>42.866666666666667</v>
      </c>
      <c r="F17">
        <f>SUBTOTAL(109,Admissions_Record[Billing_Amount])</f>
        <v>25900</v>
      </c>
    </row>
  </sheetData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toyosi emmanuel</dc:creator>
  <cp:lastModifiedBy>toyosi emmanuel</cp:lastModifiedBy>
  <dcterms:created xsi:type="dcterms:W3CDTF">2026-09-19T20:42:18Z</dcterms:created>
  <dcterms:modified xsi:type="dcterms:W3CDTF">2026-09-19T22:33:01Z</dcterms:modified>
</cp:coreProperties>
</file>